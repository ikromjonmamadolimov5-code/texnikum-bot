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\1 бошкарма\3-texnikum direktorlari va o'rinbosarlar\"/>
    </mc:Choice>
  </mc:AlternateContent>
  <bookViews>
    <workbookView xWindow="0" yWindow="0" windowWidth="28800" windowHeight="12315" activeTab="1"/>
  </bookViews>
  <sheets>
    <sheet name="Svod" sheetId="1" r:id="rId1"/>
    <sheet name="Лист1" sheetId="2" r:id="rId2"/>
  </sheets>
  <definedNames>
    <definedName name="_xlnm._FilterDatabase" localSheetId="1" hidden="1">Лист1!$A$5:$L$273</definedName>
    <definedName name="Срез_Lavozimi">#N/A</definedName>
    <definedName name="Срез_Texnikum_nomi">#N/A</definedName>
  </definedNames>
  <calcPr calcId="152511" forceFullCalc="1"/>
</workbook>
</file>

<file path=xl/calcChain.xml><?xml version="1.0" encoding="utf-8"?>
<calcChain xmlns="http://schemas.openxmlformats.org/spreadsheetml/2006/main">
  <c r="B26" i="1" l="1"/>
  <c r="B25" i="1"/>
  <c r="B24" i="1"/>
  <c r="B23" i="1"/>
  <c r="B21" i="1"/>
  <c r="B20" i="1"/>
  <c r="B19" i="1"/>
  <c r="B18" i="1"/>
  <c r="B16" i="1"/>
  <c r="B15" i="1"/>
  <c r="B14" i="1"/>
  <c r="B13" i="1"/>
  <c r="B11" i="1"/>
  <c r="B10" i="1"/>
  <c r="B9" i="1"/>
  <c r="B8" i="1"/>
  <c r="B6" i="1"/>
  <c r="B5" i="1"/>
  <c r="B4" i="1"/>
  <c r="B3" i="1"/>
</calcChain>
</file>

<file path=xl/sharedStrings.xml><?xml version="1.0" encoding="utf-8"?>
<sst xmlns="http://schemas.openxmlformats.org/spreadsheetml/2006/main" count="2331" uniqueCount="1135">
  <si>
    <t>Texnikumlar soni</t>
  </si>
  <si>
    <t>Direktorlar jami</t>
  </si>
  <si>
    <t>Doimiy</t>
  </si>
  <si>
    <t>Vaqtincha</t>
  </si>
  <si>
    <t>Vakant</t>
  </si>
  <si>
    <t>O'rinbosarlar jami</t>
  </si>
  <si>
    <t>O'IBDO'</t>
  </si>
  <si>
    <t>YoBIBDO'</t>
  </si>
  <si>
    <t>IChTBDO'</t>
  </si>
  <si>
    <t>Farg'ona viloyati kasbiy ta'lim boshqarmasi tasarrufidagi texnikumlarning direktor va direktor o'rinbosarlari to'g'risida
MA'LUMOT</t>
  </si>
  <si>
    <t>T/r</t>
  </si>
  <si>
    <t>Texnikum nomi</t>
  </si>
  <si>
    <t>Xodim F.I.Sh</t>
  </si>
  <si>
    <t>Xolati</t>
  </si>
  <si>
    <t>Lavozimi</t>
  </si>
  <si>
    <t>Yashash manzili</t>
  </si>
  <si>
    <t>Tu'gilgan yili</t>
  </si>
  <si>
    <t>Telefon raqami</t>
  </si>
  <si>
    <t>Viloyat</t>
  </si>
  <si>
    <t>Tuman/shahar</t>
  </si>
  <si>
    <t>MFY</t>
  </si>
  <si>
    <t>Ko'cha nomi</t>
  </si>
  <si>
    <t>Uy raqami</t>
  </si>
  <si>
    <t>Bagʻdod tuman 1-son texnikumi</t>
  </si>
  <si>
    <t>Sidiqov Jamoldin Jaloldinovich</t>
  </si>
  <si>
    <t>Direktor</t>
  </si>
  <si>
    <t>Farg‘ona</t>
  </si>
  <si>
    <t>Bag‘dod tumani</t>
  </si>
  <si>
    <t>Bolg‘oli</t>
  </si>
  <si>
    <t>Maktab</t>
  </si>
  <si>
    <t>18</t>
  </si>
  <si>
    <t>30.07.1968</t>
  </si>
  <si>
    <t>Meliboyeva Umida Xasanova</t>
  </si>
  <si>
    <t>Direktorining o‘quv ishlari bo‘yicha o‘rinbosari</t>
  </si>
  <si>
    <t>Farg'ona</t>
  </si>
  <si>
    <t>Uchko'prik tumani</t>
  </si>
  <si>
    <t>Poloxon</t>
  </si>
  <si>
    <t>Xon-Anxor</t>
  </si>
  <si>
    <t>917391175</t>
  </si>
  <si>
    <t>Xomidova Maxzuna Jabborovna</t>
  </si>
  <si>
    <t>Direktorining yoshlar bilan ishlash bo‘yicha o‘rinbosari</t>
  </si>
  <si>
    <t>Bag'dod tumani</t>
  </si>
  <si>
    <t>Xitoy</t>
  </si>
  <si>
    <t>Ziyolilar</t>
  </si>
  <si>
    <t>3</t>
  </si>
  <si>
    <t>917444785</t>
  </si>
  <si>
    <t>Elchiyev Baxtiyorjon Alijonovich</t>
  </si>
  <si>
    <t>Direktorining ishlab chiqarish ta’limi bo‘yicha o‘rinbosari</t>
  </si>
  <si>
    <t>Shifokorlar</t>
  </si>
  <si>
    <t>37</t>
  </si>
  <si>
    <t>903607173</t>
  </si>
  <si>
    <t>Bagʻdod tuman 2-son texnikumi</t>
  </si>
  <si>
    <t>Jololov Ravshanbek O‘rinboyevich</t>
  </si>
  <si>
    <t>Beshariq tumani</t>
  </si>
  <si>
    <t>Namuna</t>
  </si>
  <si>
    <t>Bog‘</t>
  </si>
  <si>
    <t>16.12.1975</t>
  </si>
  <si>
    <t>Sharipov Shavkatjon Usmonovich</t>
  </si>
  <si>
    <t>Saidobod</t>
  </si>
  <si>
    <t>Yangi davr</t>
  </si>
  <si>
    <t>8</t>
  </si>
  <si>
    <t>901554145</t>
  </si>
  <si>
    <t>Abdullayev Avazbek Maxamatsodikovich</t>
  </si>
  <si>
    <t>Marzaobod</t>
  </si>
  <si>
    <t>Tong ifori</t>
  </si>
  <si>
    <t>14</t>
  </si>
  <si>
    <t>23.06.1985</t>
  </si>
  <si>
    <t>916571900</t>
  </si>
  <si>
    <t>Baymirzayev Shavkatjon Valijonovich</t>
  </si>
  <si>
    <t>Bag'dod</t>
  </si>
  <si>
    <t>Qashqar 2</t>
  </si>
  <si>
    <t>107</t>
  </si>
  <si>
    <t>900569936</t>
  </si>
  <si>
    <t>Beshariq Abu Ali ibn Sino nomidagi Jamoat salomatligi texnikumi</t>
  </si>
  <si>
    <t>Akbarova Nigora Narimmatova v.v.b</t>
  </si>
  <si>
    <t>vk</t>
  </si>
  <si>
    <t>Yuqori-Zarqaynar</t>
  </si>
  <si>
    <t>Nurli zamin</t>
  </si>
  <si>
    <t>77</t>
  </si>
  <si>
    <t>02.07.1980</t>
  </si>
  <si>
    <t>Akbarova Nigora Narimmatovna</t>
  </si>
  <si>
    <t>Zayqaynar</t>
  </si>
  <si>
    <t>911563684</t>
  </si>
  <si>
    <t>vakant</t>
  </si>
  <si>
    <t>Ergasheva Madina Ikromjon qizi</t>
  </si>
  <si>
    <t>v</t>
  </si>
  <si>
    <t>Yangi hayot</t>
  </si>
  <si>
    <t>Navro‘z</t>
  </si>
  <si>
    <t>27</t>
  </si>
  <si>
    <t>Beshariq tuman 1-son texnikumi</t>
  </si>
  <si>
    <t>Payg'amov Olimjon Murodjonovich v.v.b</t>
  </si>
  <si>
    <t>Vatan</t>
  </si>
  <si>
    <t>Obod</t>
  </si>
  <si>
    <t>28</t>
  </si>
  <si>
    <t>06.02.1985</t>
  </si>
  <si>
    <t>937379109</t>
  </si>
  <si>
    <t>Davlatbekov Dostonbek Davlatbek o‘g‘li</t>
  </si>
  <si>
    <t>Quyi Zarqaynar</t>
  </si>
  <si>
    <t>Lolazor</t>
  </si>
  <si>
    <t>44</t>
  </si>
  <si>
    <t>Payg'amov Olimjon Murodjonovich</t>
  </si>
  <si>
    <t>Mullayev Muzaffar Murodbek o‘g‘li</t>
  </si>
  <si>
    <t>Fayziobod</t>
  </si>
  <si>
    <t>Shifokor</t>
  </si>
  <si>
    <t>7</t>
  </si>
  <si>
    <t>Beshariq tuman 2-son texnikumi</t>
  </si>
  <si>
    <t>Sotvoldiyev Alisher 
Mirzavaliyevich</t>
  </si>
  <si>
    <t>19.06.1973</t>
  </si>
  <si>
    <t>Xusanov Abrorjon Abduraxmonovich</t>
  </si>
  <si>
    <t>Bog'</t>
  </si>
  <si>
    <t>905831088</t>
  </si>
  <si>
    <t>Otadjonova Gulasal Ma'murjonovna</t>
  </si>
  <si>
    <t>Toshariq</t>
  </si>
  <si>
    <t>Havaskor</t>
  </si>
  <si>
    <t>975030809</t>
  </si>
  <si>
    <t>Masodiqov Qahhorjon Abduvosilovich</t>
  </si>
  <si>
    <t>O'ttizambar</t>
  </si>
  <si>
    <t>Gulobod</t>
  </si>
  <si>
    <t>904060079</t>
  </si>
  <si>
    <t>Buvayda Abu Ali ibn Sino nomidagi Jamoat salomatligi texnikumi</t>
  </si>
  <si>
    <t xml:space="preserve">Jumaboyev Nodirjon
 Erkinovich </t>
  </si>
  <si>
    <t>Buvayda tumani</t>
  </si>
  <si>
    <t>Ozod</t>
  </si>
  <si>
    <t>Obod Xayot</t>
  </si>
  <si>
    <t>03.10.1969</t>
  </si>
  <si>
    <t>Tursunov Ismoiljon Nosirovich</t>
  </si>
  <si>
    <t>Beglar</t>
  </si>
  <si>
    <t>Qo'ng'irot</t>
  </si>
  <si>
    <t>163</t>
  </si>
  <si>
    <t>936420600</t>
  </si>
  <si>
    <t>Matusmonov Doniyorbek Zokirovich</t>
  </si>
  <si>
    <t>Begobod</t>
  </si>
  <si>
    <t>Eski bog'</t>
  </si>
  <si>
    <t>31</t>
  </si>
  <si>
    <t>933701888</t>
  </si>
  <si>
    <t>Mo'minov Baxtiyor Saminovich</t>
  </si>
  <si>
    <t>Yangiqo'rg'on</t>
  </si>
  <si>
    <t>Yog'du</t>
  </si>
  <si>
    <t>12</t>
  </si>
  <si>
    <t>902914848</t>
  </si>
  <si>
    <t>Buvayda tuman 1-son texnikumi</t>
  </si>
  <si>
    <t>Nazarov Bexzod Muxsinovich</t>
  </si>
  <si>
    <t>Arab</t>
  </si>
  <si>
    <t>Yangi Arab</t>
  </si>
  <si>
    <t>16.10.1981</t>
  </si>
  <si>
    <t>Xalilov Mansurjon Axmadjonovich</t>
  </si>
  <si>
    <t>Musaboy</t>
  </si>
  <si>
    <t>36</t>
  </si>
  <si>
    <t>772390385</t>
  </si>
  <si>
    <t>Umurzaqov Elmurod Soburovich</t>
  </si>
  <si>
    <t>Katta arab</t>
  </si>
  <si>
    <t>991178214</t>
  </si>
  <si>
    <t>Qoroboyev Muxammad Muqimjonovich</t>
  </si>
  <si>
    <t>Turk</t>
  </si>
  <si>
    <t>Begbuvo</t>
  </si>
  <si>
    <t>5</t>
  </si>
  <si>
    <t>Buvayda tuman 2-son texnikumi</t>
  </si>
  <si>
    <t>Koroboyev  Muxtor Boyqo‘ziyevich</t>
  </si>
  <si>
    <t>Yangihayot</t>
  </si>
  <si>
    <t>Ustozlar</t>
  </si>
  <si>
    <t>20</t>
  </si>
  <si>
    <t>03.08.1972</t>
  </si>
  <si>
    <t>Turg'unov Zokirjon Ma'rufovich</t>
  </si>
  <si>
    <t>Nayman</t>
  </si>
  <si>
    <t>Yoshlik</t>
  </si>
  <si>
    <t>1</t>
  </si>
  <si>
    <t>941580300</t>
  </si>
  <si>
    <t>O'rinov Umidjon Ismoil o'g'li</t>
  </si>
  <si>
    <t>50</t>
  </si>
  <si>
    <t>940961120</t>
  </si>
  <si>
    <t>Buvayda tuman 3-son texnikumi</t>
  </si>
  <si>
    <t>Xo‘jamov Xabibullo Odilovich v.v.b</t>
  </si>
  <si>
    <t>Buyuk kelajak</t>
  </si>
  <si>
    <t>Umarova Nilufar Asqaraliyevna</t>
  </si>
  <si>
    <t>A.Temur</t>
  </si>
  <si>
    <t>Mamajonov Akramjon Akbaraliyevich</t>
  </si>
  <si>
    <t>Urganji</t>
  </si>
  <si>
    <t>Ittifoq</t>
  </si>
  <si>
    <t>35</t>
  </si>
  <si>
    <t>916148787</t>
  </si>
  <si>
    <t>Jo‘rayev Ulug‘bek Sa’dullayevich</t>
  </si>
  <si>
    <t>Bekobod</t>
  </si>
  <si>
    <t>Katta hovuz</t>
  </si>
  <si>
    <t>Dangʻara tuman 1-son texnikumi</t>
  </si>
  <si>
    <t xml:space="preserve">Numanov Ziyodbek Boxodirovich </t>
  </si>
  <si>
    <t xml:space="preserve">Namangan </t>
  </si>
  <si>
    <t>Pop tumani</t>
  </si>
  <si>
    <t xml:space="preserve">Qo‘shtepa </t>
  </si>
  <si>
    <t>Istiqlol</t>
  </si>
  <si>
    <t>Raximberdiyev Azizjon Ubaydullayevich</t>
  </si>
  <si>
    <t>Darg'ara tumani</t>
  </si>
  <si>
    <t>Yaltir</t>
  </si>
  <si>
    <t>21.11.1980</t>
  </si>
  <si>
    <t>939817344</t>
  </si>
  <si>
    <t>Kulmatov Shuxratjon Sharifovich</t>
  </si>
  <si>
    <t>Chinobod</t>
  </si>
  <si>
    <t>Qora ko'rpa</t>
  </si>
  <si>
    <t>947050059</t>
  </si>
  <si>
    <t>Dangʻara tuman 2-son texnikumi</t>
  </si>
  <si>
    <t>Isakov Dilmurod Madaminovich v.v.b</t>
  </si>
  <si>
    <t>Katta aravon</t>
  </si>
  <si>
    <t>Madadkor</t>
  </si>
  <si>
    <t>185</t>
  </si>
  <si>
    <t>905642232</t>
  </si>
  <si>
    <t>Usmonova Sayyoraxon Ergashaliyevna</t>
  </si>
  <si>
    <t>Furqat tumani</t>
  </si>
  <si>
    <t>Ingichka</t>
  </si>
  <si>
    <t>Yangi mahalla</t>
  </si>
  <si>
    <t>449</t>
  </si>
  <si>
    <t>911540261</t>
  </si>
  <si>
    <t>Isakov Dilmurod Madaminovich</t>
  </si>
  <si>
    <t>Raxmonov Komiljon Kodirovich</t>
  </si>
  <si>
    <t>Jar</t>
  </si>
  <si>
    <t>Charog'on</t>
  </si>
  <si>
    <t>115</t>
  </si>
  <si>
    <t>910599779</t>
  </si>
  <si>
    <t>Dangʻara tuman 3-son texnikumi</t>
  </si>
  <si>
    <t>Arslonov Eminjon Erkinjonovich</t>
  </si>
  <si>
    <t xml:space="preserve"> Dang‘ara tumani</t>
  </si>
  <si>
    <t xml:space="preserve"> Kichik-turk</t>
  </si>
  <si>
    <t>Chag‘ali</t>
  </si>
  <si>
    <t>14.02.1986</t>
  </si>
  <si>
    <t>Kambarov Oybek Olimjonovich</t>
  </si>
  <si>
    <t>Taptiq saroy</t>
  </si>
  <si>
    <t>Bo'ston</t>
  </si>
  <si>
    <t>19</t>
  </si>
  <si>
    <t>975577124</t>
  </si>
  <si>
    <t>Abdurashidov Akramjon Abduxamitovich</t>
  </si>
  <si>
    <t>Oqjar</t>
  </si>
  <si>
    <t>Tolqator</t>
  </si>
  <si>
    <t>100</t>
  </si>
  <si>
    <t>971250030</t>
  </si>
  <si>
    <t>Kurbanov Abror Abduganiyevich</t>
  </si>
  <si>
    <t>Taptiqsaroy</t>
  </si>
  <si>
    <t>Yo‘lsoz</t>
  </si>
  <si>
    <t>Yozyovon tuman 1-son texnikumi</t>
  </si>
  <si>
    <t>Otajonov Maxamatjon Boqiyevich</t>
  </si>
  <si>
    <t>Yozyovon tumani</t>
  </si>
  <si>
    <t xml:space="preserve">Markaziy Farg`ona </t>
  </si>
  <si>
    <t>Osuda</t>
  </si>
  <si>
    <t>15.07.1969</t>
  </si>
  <si>
    <t>Usmonaliyev Toxirjon Solijon o‘g‘li</t>
  </si>
  <si>
    <t>Soybo‘yi</t>
  </si>
  <si>
    <t>Soybo‘yi 2</t>
  </si>
  <si>
    <t>Ulmasov Hidoyatulla Yulbarsxonovich</t>
  </si>
  <si>
    <t>Qo'shtepa tumani</t>
  </si>
  <si>
    <t>Yuqori soybo'yi</t>
  </si>
  <si>
    <t>Bashariyat</t>
  </si>
  <si>
    <t>09.03.1980</t>
  </si>
  <si>
    <t>916592186</t>
  </si>
  <si>
    <t>Axmedov Bekzod Raxmatiloyevich</t>
  </si>
  <si>
    <t>Soy bo'yi</t>
  </si>
  <si>
    <t>26</t>
  </si>
  <si>
    <t>905883636</t>
  </si>
  <si>
    <t>Yozyovon tuman 2-son texnikumi</t>
  </si>
  <si>
    <t>Akbarov Bahromjon Abdubannob o'g'li</t>
  </si>
  <si>
    <t>Suvliariq</t>
  </si>
  <si>
    <t>Obodon</t>
  </si>
  <si>
    <t>30</t>
  </si>
  <si>
    <t>993680011</t>
  </si>
  <si>
    <t>Umarov Toshmirza Asqaraliyevich</t>
  </si>
  <si>
    <t>Ishtirxon</t>
  </si>
  <si>
    <t>Xamkor</t>
  </si>
  <si>
    <t>33</t>
  </si>
  <si>
    <t>905859859</t>
  </si>
  <si>
    <t>Xolmatov Ilxomjon Abdurasul o'g'li</t>
  </si>
  <si>
    <t>916701755</t>
  </si>
  <si>
    <t>Qirg‘izov Ziyovuddin Jalolidinovich</t>
  </si>
  <si>
    <t>Qorasoy</t>
  </si>
  <si>
    <t>Shaffof</t>
  </si>
  <si>
    <t>25</t>
  </si>
  <si>
    <t>Quva Abu Ali ibn Sino nomidagi Jamoat salomatligi texnikumi</t>
  </si>
  <si>
    <t>Madaminov Rasuljon Xikmatovich</t>
  </si>
  <si>
    <t>Toshloq tumani</t>
  </si>
  <si>
    <t>Arabmozor</t>
  </si>
  <si>
    <t>Ko‘lariq</t>
  </si>
  <si>
    <t>05.08.1988</t>
  </si>
  <si>
    <t>O'ktamova Gulchexraxon Azimovna</t>
  </si>
  <si>
    <t>Quva tumani</t>
  </si>
  <si>
    <t>Rasta</t>
  </si>
  <si>
    <t>Marg'iyona</t>
  </si>
  <si>
    <t>15</t>
  </si>
  <si>
    <t>930970605</t>
  </si>
  <si>
    <t>Nuritdinova Maxliyoxon Xoshimovna</t>
  </si>
  <si>
    <t>Farg'ona shahri</t>
  </si>
  <si>
    <t>Navbahor</t>
  </si>
  <si>
    <t>Xuvaydo</t>
  </si>
  <si>
    <t>4/14</t>
  </si>
  <si>
    <t>911589690</t>
  </si>
  <si>
    <t>Xakimova Saboxat Mamatovna</t>
  </si>
  <si>
    <t>Tong</t>
  </si>
  <si>
    <t>16</t>
  </si>
  <si>
    <t>907802401</t>
  </si>
  <si>
    <t>Quva tuman 1-son texnikumi</t>
  </si>
  <si>
    <t>Pozilov Azamat Odilovich</t>
  </si>
  <si>
    <t xml:space="preserve">Chilon </t>
  </si>
  <si>
    <t>Chilon 2</t>
  </si>
  <si>
    <t>28.09.1982</t>
  </si>
  <si>
    <t>Dadajonov Qahramon G'opirovich</t>
  </si>
  <si>
    <t>Katta dehqonobod</t>
  </si>
  <si>
    <t>245</t>
  </si>
  <si>
    <t>908456003</t>
  </si>
  <si>
    <t>Axmedova Diloromxon Gulamnazarovna</t>
  </si>
  <si>
    <t>Mingchinor</t>
  </si>
  <si>
    <t>902306808</t>
  </si>
  <si>
    <t>Mirzajonov Ibroximjon Ibaydullayevich</t>
  </si>
  <si>
    <t>Baynalminal</t>
  </si>
  <si>
    <t>Qoʻshkechik</t>
  </si>
  <si>
    <t>505</t>
  </si>
  <si>
    <t>916652999</t>
  </si>
  <si>
    <t>Quva tuman 2-son texnikumi</t>
  </si>
  <si>
    <t>Sotvoldiyev Dilmurodjon</t>
  </si>
  <si>
    <t>Toshkent</t>
  </si>
  <si>
    <t>Muqumiy</t>
  </si>
  <si>
    <t>31.03.1973</t>
  </si>
  <si>
    <t>Axunova Xayotxon Mamurovna</t>
  </si>
  <si>
    <t>Tinchlik</t>
  </si>
  <si>
    <t>Fidoiy</t>
  </si>
  <si>
    <t>199</t>
  </si>
  <si>
    <t>916791078</t>
  </si>
  <si>
    <t>Boboraximov Dilshod Sobirovich</t>
  </si>
  <si>
    <t>Damariq</t>
  </si>
  <si>
    <t>Mardona</t>
  </si>
  <si>
    <t>60</t>
  </si>
  <si>
    <t>Axlidinov Sayidkamol Aslidin o‘g‘li</t>
  </si>
  <si>
    <t>Novkent</t>
  </si>
  <si>
    <t>Nurafshon</t>
  </si>
  <si>
    <t>134</t>
  </si>
  <si>
    <t>Quvasoy shahar texnikumi</t>
  </si>
  <si>
    <t>Jumaboyeva Sanamxon Yursunjon qizi v.v.b</t>
  </si>
  <si>
    <t>Quvasoy shahri</t>
  </si>
  <si>
    <t>Ziynat</t>
  </si>
  <si>
    <t>A.Azizov</t>
  </si>
  <si>
    <t>219/16</t>
  </si>
  <si>
    <t>17.02.1994</t>
  </si>
  <si>
    <t>Jumaboyeva Sanamxon Yursunjon qizi</t>
  </si>
  <si>
    <t>916701702</t>
  </si>
  <si>
    <t>Axmadjonov Ismoiljon Ikromjonovich</t>
  </si>
  <si>
    <t>Al-Xorazmiy</t>
  </si>
  <si>
    <t>933697778</t>
  </si>
  <si>
    <t>Qoʻqon Abu Ali ibn Sino nomidagi Jamoat salomatligi texnikumi</t>
  </si>
  <si>
    <t xml:space="preserve">Tojiyeva O‘ktamxon Xurshidovna </t>
  </si>
  <si>
    <t>Qo‘qon shahri</t>
  </si>
  <si>
    <t>At-Termiziy</t>
  </si>
  <si>
    <t>Rishton</t>
  </si>
  <si>
    <t>08.01.1970</t>
  </si>
  <si>
    <t>Meliyev Sattorali Xaydarovich</t>
  </si>
  <si>
    <t>Qo'qon shahri</t>
  </si>
  <si>
    <t>Mingut</t>
  </si>
  <si>
    <t>Yangi avlod</t>
  </si>
  <si>
    <t>55</t>
  </si>
  <si>
    <t>970400064</t>
  </si>
  <si>
    <t>Mahsudaliyev Sherzod Murodjon o'g'li</t>
  </si>
  <si>
    <t>Shaldiramoq</t>
  </si>
  <si>
    <t>Baxmalbop</t>
  </si>
  <si>
    <t>15/14</t>
  </si>
  <si>
    <t>331567777</t>
  </si>
  <si>
    <t>Muratov Sarvar Akbardjanovich</t>
  </si>
  <si>
    <t>To‘g‘onboshi</t>
  </si>
  <si>
    <t>Beruniy</t>
  </si>
  <si>
    <t>51/10</t>
  </si>
  <si>
    <t>Qoʻqon raqamli texnologiyalar texnikumi</t>
  </si>
  <si>
    <t>Sultonova Dilorom Kuldashevna</t>
  </si>
  <si>
    <t>63-Qudug‘liq</t>
  </si>
  <si>
    <t>Abadiyot 2-tor ko‘cha</t>
  </si>
  <si>
    <t>21.09.1979</t>
  </si>
  <si>
    <t>Mamasoliyeva Nargiza Baxromovna</t>
  </si>
  <si>
    <t>Besh-og'a</t>
  </si>
  <si>
    <t>Soyguzar</t>
  </si>
  <si>
    <t>911474874</t>
  </si>
  <si>
    <t>Toshpulatov Kamoldin Pirxonovich</t>
  </si>
  <si>
    <t>To'rg'ay</t>
  </si>
  <si>
    <t>47</t>
  </si>
  <si>
    <t>937564635</t>
  </si>
  <si>
    <t>Suleymanov Dilshodjon Tadjibayevich</t>
  </si>
  <si>
    <t>Raxmatullo</t>
  </si>
  <si>
    <t>Yaxshi niyat</t>
  </si>
  <si>
    <t>6</t>
  </si>
  <si>
    <t>902935859</t>
  </si>
  <si>
    <t>Qoʻqon shahar 6-son texnikumi</t>
  </si>
  <si>
    <t>Rasulova Gullxayo Madaminovna</t>
  </si>
  <si>
    <t xml:space="preserve">Qo‘qon shahar </t>
  </si>
  <si>
    <t>4-Gishtli masjid</t>
  </si>
  <si>
    <t>Eskirabot</t>
  </si>
  <si>
    <t>24.09.1969</t>
  </si>
  <si>
    <t>Esonov Anvarjon Mukimjonovich</t>
  </si>
  <si>
    <t>Turkiston</t>
  </si>
  <si>
    <t>6a/15</t>
  </si>
  <si>
    <t>905663626</t>
  </si>
  <si>
    <t>Baytemirova Guzal Uktamovna</t>
  </si>
  <si>
    <t>47 Rayhon</t>
  </si>
  <si>
    <t>Abu Toib Xo'qandiy</t>
  </si>
  <si>
    <t>113/26</t>
  </si>
  <si>
    <t>903083532</t>
  </si>
  <si>
    <t>Ishanbabayeva Gulnora Rustamovna</t>
  </si>
  <si>
    <t>4-G'ishtli masjid</t>
  </si>
  <si>
    <t>Bobokarvon</t>
  </si>
  <si>
    <t>13</t>
  </si>
  <si>
    <t>916942515</t>
  </si>
  <si>
    <t>Qoʻqon shahar 1-son texnikumi</t>
  </si>
  <si>
    <t>Dexkanov Laziz Kuldashevich v.v.b</t>
  </si>
  <si>
    <t>Qo‘qon shahar</t>
  </si>
  <si>
    <t>Quduqlik</t>
  </si>
  <si>
    <t>Xo‘jakent 7-tor ko‘cha</t>
  </si>
  <si>
    <t>22.03.1975</t>
  </si>
  <si>
    <t>Kurbanov Shukur Shakirovich</t>
  </si>
  <si>
    <t>Muqimiy</t>
  </si>
  <si>
    <t>Sangzor 7-tor</t>
  </si>
  <si>
    <t>54</t>
  </si>
  <si>
    <t>903081287</t>
  </si>
  <si>
    <t>Amindjanov Baxtiyor Boxodirovich</t>
  </si>
  <si>
    <t>G'ishtli masjid</t>
  </si>
  <si>
    <t>Xonaqoh</t>
  </si>
  <si>
    <t>80</t>
  </si>
  <si>
    <t>916437233</t>
  </si>
  <si>
    <t>Dexkanov Laziz Kuldashevich</t>
  </si>
  <si>
    <t>Quduqluq</t>
  </si>
  <si>
    <t>Xo'jakent 7-tor</t>
  </si>
  <si>
    <t>11</t>
  </si>
  <si>
    <t>903082927</t>
  </si>
  <si>
    <t>Qoʻqon shahar 2-son texnikumi</t>
  </si>
  <si>
    <t>Qobilov Voxidjon Zoxidovich</t>
  </si>
  <si>
    <t>Uchko‘prik tumani</t>
  </si>
  <si>
    <t>Yakka mulla</t>
  </si>
  <si>
    <t>Olmazor</t>
  </si>
  <si>
    <t>20.10.1984</t>
  </si>
  <si>
    <t>Maqsudova Nargiza Saminjonovna</t>
  </si>
  <si>
    <t>Yangiobod</t>
  </si>
  <si>
    <t>A.Charxiy</t>
  </si>
  <si>
    <t>104g/70</t>
  </si>
  <si>
    <t>905883444</t>
  </si>
  <si>
    <t>Shukurova Xanifa Xamidullayevna</t>
  </si>
  <si>
    <t>Vohim chorsu</t>
  </si>
  <si>
    <t>Guzar 1-tor</t>
  </si>
  <si>
    <t>917385868</t>
  </si>
  <si>
    <t>Sattarov Shukurjon Davronovich</t>
  </si>
  <si>
    <t>Turg'oq</t>
  </si>
  <si>
    <t>905709271</t>
  </si>
  <si>
    <t>Qoʻqon shahar 3-son texnikumi</t>
  </si>
  <si>
    <t>Abdujabborov Dilmurod Bahodirovich</t>
  </si>
  <si>
    <t>Dang‘ara tumani</t>
  </si>
  <si>
    <t>Soy bo‘yi</t>
  </si>
  <si>
    <t>13.05.1987</t>
  </si>
  <si>
    <t>O‘lmasova Nazokatxon Nizomjonovna</t>
  </si>
  <si>
    <t>6a</t>
  </si>
  <si>
    <t>Otajonova Turdixon Sobirovna</t>
  </si>
  <si>
    <t>O‘zbekiston tumani</t>
  </si>
  <si>
    <t>Yakkatut</t>
  </si>
  <si>
    <t>Go‘zal diyor</t>
  </si>
  <si>
    <t>58</t>
  </si>
  <si>
    <t>Barkasheva Gulchexraxon Murodali qizi</t>
  </si>
  <si>
    <t>Vaqf chorsu</t>
  </si>
  <si>
    <t>Turon</t>
  </si>
  <si>
    <t>7/11</t>
  </si>
  <si>
    <t>921444511</t>
  </si>
  <si>
    <t>Qoʻqon shahar 4-son texnikumi</t>
  </si>
  <si>
    <t>Muxamedova Muxayo Xomidovna</t>
  </si>
  <si>
    <t xml:space="preserve">Qo‘qon shaxar </t>
  </si>
  <si>
    <t>Mustaqillik</t>
  </si>
  <si>
    <t>13.12.1985</t>
  </si>
  <si>
    <t>Aliyeva Dilnoza Anvarovna</t>
  </si>
  <si>
    <t>35-Aziz tepa</t>
  </si>
  <si>
    <t>Aziz tepa</t>
  </si>
  <si>
    <t>17a</t>
  </si>
  <si>
    <t>916872687</t>
  </si>
  <si>
    <t>Qoʻqon shahar 5-son texnikumi</t>
  </si>
  <si>
    <t>Sativoldiyev Murod  Mamurovich v.v.b.</t>
  </si>
  <si>
    <t>5- Voxim cho‘rsu</t>
  </si>
  <si>
    <t>O‘rda tagi 1-tor ko‘cha</t>
  </si>
  <si>
    <t>38a</t>
  </si>
  <si>
    <t>26.12.1984</t>
  </si>
  <si>
    <t>Irkabayeva Muxarram Yusupovna</t>
  </si>
  <si>
    <t>21-G'alchasoy</t>
  </si>
  <si>
    <t>Sherqadam</t>
  </si>
  <si>
    <t>913245559</t>
  </si>
  <si>
    <t>Maxkamov Shuxratjon Maxsutovich</t>
  </si>
  <si>
    <t>Qo'qonboy</t>
  </si>
  <si>
    <t>912869010</t>
  </si>
  <si>
    <t>Sativoldiyev Murod Mamurovich</t>
  </si>
  <si>
    <t>5-Vaqf Chorsu</t>
  </si>
  <si>
    <t>O'rda Tagi 1-tor</t>
  </si>
  <si>
    <t>905647414</t>
  </si>
  <si>
    <t>Qoʻshtepa tuman 1-son texnikumi</t>
  </si>
  <si>
    <t>Nosirov Kamoliddn Axmedovich</t>
  </si>
  <si>
    <t>Qo‘shtepa tuman</t>
  </si>
  <si>
    <t>Langar</t>
  </si>
  <si>
    <t>Nurli yo‘l</t>
  </si>
  <si>
    <t>06.10.1972</t>
  </si>
  <si>
    <t>Xazratqulov Xojiakbar Nu'monjonovich</t>
  </si>
  <si>
    <t>Mirobod</t>
  </si>
  <si>
    <t>902778228</t>
  </si>
  <si>
    <t>Mamadaliyev Abduhalim Salimovich</t>
  </si>
  <si>
    <t>Xo'jaqishloq</t>
  </si>
  <si>
    <t>Nurli tong</t>
  </si>
  <si>
    <t>905818443</t>
  </si>
  <si>
    <t>Yuldashev Baxromjon Komolidinovich</t>
  </si>
  <si>
    <t>Shodlik</t>
  </si>
  <si>
    <t>O'zbekiston</t>
  </si>
  <si>
    <t>Qoʻshtepa tuman 2-son texnikumi</t>
  </si>
  <si>
    <t>Sobirov Ulug‘bek Tursunovich</t>
  </si>
  <si>
    <t>Shomirza</t>
  </si>
  <si>
    <t>21.03.1974</t>
  </si>
  <si>
    <t>Umarova Sayora Saliyevna</t>
  </si>
  <si>
    <t>Marg'ilon shahri</t>
  </si>
  <si>
    <t>Uzumzor</t>
  </si>
  <si>
    <t>O'qituvchilar</t>
  </si>
  <si>
    <t>910406069</t>
  </si>
  <si>
    <t>Po'latbekova Nargiza Mirzaraximovna</t>
  </si>
  <si>
    <t>Dehqonobod</t>
  </si>
  <si>
    <t>Sahatgoh</t>
  </si>
  <si>
    <t>120</t>
  </si>
  <si>
    <t>916590459</t>
  </si>
  <si>
    <t>Millajonov Faxriddin Baxriddinovich</t>
  </si>
  <si>
    <t>Loyson</t>
  </si>
  <si>
    <t>Toshloq</t>
  </si>
  <si>
    <t>22</t>
  </si>
  <si>
    <t>905846048</t>
  </si>
  <si>
    <t>Margʻilon turizm va madaniy meros texnikumi</t>
  </si>
  <si>
    <t>Karichayev Sherzod Shuxratovich v.v.b</t>
  </si>
  <si>
    <t>Marg‘ilon shahar</t>
  </si>
  <si>
    <t>Qirlola</t>
  </si>
  <si>
    <t>23.07.1974</t>
  </si>
  <si>
    <t>Muminov Ilxom Anvarovich</t>
  </si>
  <si>
    <t>Sarmozor</t>
  </si>
  <si>
    <t>Poytaxt</t>
  </si>
  <si>
    <t>158</t>
  </si>
  <si>
    <t>905322761</t>
  </si>
  <si>
    <t>Xolbekova Fotima Baxodirovna</t>
  </si>
  <si>
    <t>628</t>
  </si>
  <si>
    <t>902777455</t>
  </si>
  <si>
    <t>Karichayev Sherzod Shuxratovich</t>
  </si>
  <si>
    <t>Ilg'or</t>
  </si>
  <si>
    <t>Farovon turmush</t>
  </si>
  <si>
    <t>2/148</t>
  </si>
  <si>
    <t>903562667</t>
  </si>
  <si>
    <t>1-son Margʻilon Abu Ali ibn Sino nomidagi Jamoat salomatligi texnikumi</t>
  </si>
  <si>
    <t>Xolmatov Doniyorbek Sodiqovich v.v.b</t>
  </si>
  <si>
    <t>Oltiariq tumani</t>
  </si>
  <si>
    <t>Oq bo'yra</t>
  </si>
  <si>
    <t>42</t>
  </si>
  <si>
    <t>905612926</t>
  </si>
  <si>
    <t>Gachadze Sanobar Lalayevna</t>
  </si>
  <si>
    <t>Fargʻona shahri</t>
  </si>
  <si>
    <t>Hoʻjamagʻiz</t>
  </si>
  <si>
    <t>Ulugʻvor</t>
  </si>
  <si>
    <t>174</t>
  </si>
  <si>
    <t>912826482</t>
  </si>
  <si>
    <t>Mamatova Okilaxon Abdukaimovna</t>
  </si>
  <si>
    <t>Sadoqat</t>
  </si>
  <si>
    <t>17</t>
  </si>
  <si>
    <t>905803032</t>
  </si>
  <si>
    <t>Karimov Bobirbek Baxtiyarovich</t>
  </si>
  <si>
    <t>Doʻstlik</t>
  </si>
  <si>
    <t>Yoʻldoshobod</t>
  </si>
  <si>
    <t>905628680</t>
  </si>
  <si>
    <t>2-son Margʻilon Abu Ali ibn Sino nomidagi Jamoat salomatligi texnikumi</t>
  </si>
  <si>
    <t>Raxmonov Quvonchbek Sotvoldiyevich  v.v.b</t>
  </si>
  <si>
    <t>Qo ‘shtepa tumani</t>
  </si>
  <si>
    <t xml:space="preserve">Fayz </t>
  </si>
  <si>
    <t>Oydinko‘l</t>
  </si>
  <si>
    <t>Raxmonov Quvonchbek Sotvoldiyevich</t>
  </si>
  <si>
    <t>Fayz</t>
  </si>
  <si>
    <t>Oydinko'l</t>
  </si>
  <si>
    <t>916647141</t>
  </si>
  <si>
    <t>Saxovat</t>
  </si>
  <si>
    <t>912836728</t>
  </si>
  <si>
    <t>Margʻilon shahar 1-son texnikumi</t>
  </si>
  <si>
    <t xml:space="preserve">Muminov Bobuirbek Xabibulloyevich </t>
  </si>
  <si>
    <t>Yovqachar</t>
  </si>
  <si>
    <t>Sharq</t>
  </si>
  <si>
    <t>03.03.1984</t>
  </si>
  <si>
    <t>Alidjanov Qosimdjon Osimdjanovich</t>
  </si>
  <si>
    <t>A.Navoiy</t>
  </si>
  <si>
    <t>B.Naqshbandiy</t>
  </si>
  <si>
    <t>323</t>
  </si>
  <si>
    <t>916634408</t>
  </si>
  <si>
    <t>Mamatov Ulug'bek Odiljonovich</t>
  </si>
  <si>
    <t>Madaniyat</t>
  </si>
  <si>
    <t>46/5</t>
  </si>
  <si>
    <t>700158887</t>
  </si>
  <si>
    <t>Isakov Ibroximjon Raxmonaliyevich</t>
  </si>
  <si>
    <t>259</t>
  </si>
  <si>
    <t>905374325</t>
  </si>
  <si>
    <t>Margʻilon shahar 2-son texnikumi</t>
  </si>
  <si>
    <t>Gofurov Boxodirjon Mukimovich</t>
  </si>
  <si>
    <t>Farg‘ona shahr</t>
  </si>
  <si>
    <t>Surxtepa</t>
  </si>
  <si>
    <t>Eski  Farg‘ona</t>
  </si>
  <si>
    <t>06.06.1963</t>
  </si>
  <si>
    <t>Fozilova Feruza Komildjanovna</t>
  </si>
  <si>
    <t>Xo'jamag'iz 70</t>
  </si>
  <si>
    <t>54a</t>
  </si>
  <si>
    <t>999943326</t>
  </si>
  <si>
    <t>Mamadjonov Nodirjon Komilovich</t>
  </si>
  <si>
    <t>Balndmasjid</t>
  </si>
  <si>
    <t>Ko'prikboshi</t>
  </si>
  <si>
    <t>903031604</t>
  </si>
  <si>
    <t>Muxtorov Muxammadaziz Muqumjon o'g'li</t>
  </si>
  <si>
    <t>Bobur</t>
  </si>
  <si>
    <t>907823738</t>
  </si>
  <si>
    <t>Margʻilon shahar 3-son texnikumi</t>
  </si>
  <si>
    <t>Mamatxanov Baxrom Nabidjanovich</t>
  </si>
  <si>
    <t>Baland masjid</t>
  </si>
  <si>
    <t>07.07.1971</t>
  </si>
  <si>
    <t>Grigorev Valeriy Yurevich</t>
  </si>
  <si>
    <t>Tog'lik</t>
  </si>
  <si>
    <t>Temir yo'l</t>
  </si>
  <si>
    <t>905849879</t>
  </si>
  <si>
    <t>Umurzakova Ugiloy Maxamadjonovna</t>
  </si>
  <si>
    <t>Mashad</t>
  </si>
  <si>
    <t>Zarafshon</t>
  </si>
  <si>
    <t>978153301</t>
  </si>
  <si>
    <t>Atabayeva Risolatxon Zaidjanovna</t>
  </si>
  <si>
    <t>Toshkesar</t>
  </si>
  <si>
    <t>Quva 1-tor</t>
  </si>
  <si>
    <t>916654252</t>
  </si>
  <si>
    <t>Margʻilon shahar 4-son texnikumi</t>
  </si>
  <si>
    <t>Egamberdiyev Rozikdjon Fazilovich</t>
  </si>
  <si>
    <t>Marg`ilon shahar</t>
  </si>
  <si>
    <t>Terak tagi</t>
  </si>
  <si>
    <t>04.05.1967</t>
  </si>
  <si>
    <t>Abduraxmanova Sayyoraxon Saydullayevna</t>
  </si>
  <si>
    <t>Sixatgox</t>
  </si>
  <si>
    <t>913266295</t>
  </si>
  <si>
    <t>Azimova Inobat Tilovoldiyevna</t>
  </si>
  <si>
    <t>Qashqar</t>
  </si>
  <si>
    <t>Nurobod</t>
  </si>
  <si>
    <t>911238645</t>
  </si>
  <si>
    <t>Saydullayev Obidxon Safoxonovich</t>
  </si>
  <si>
    <t>Chilonzor</t>
  </si>
  <si>
    <t>Baraka</t>
  </si>
  <si>
    <t>115/3/5</t>
  </si>
  <si>
    <t>972079660</t>
  </si>
  <si>
    <t>Oltiariq tuman 1-son texnikumi</t>
  </si>
  <si>
    <t>Boymatov Alisher Erkin o‘g‘li</t>
  </si>
  <si>
    <t xml:space="preserve">Oltiariq tumani </t>
  </si>
  <si>
    <t>01.09.1975</t>
  </si>
  <si>
    <t>Mirzayeva Odina Shuxratjon qizi</t>
  </si>
  <si>
    <t>Qapchug'ay</t>
  </si>
  <si>
    <t>157</t>
  </si>
  <si>
    <t>901630092</t>
  </si>
  <si>
    <t>Abduxamidov Ilxomjon Abduxamidovich</t>
  </si>
  <si>
    <t>Do'stlik</t>
  </si>
  <si>
    <t>Karmak</t>
  </si>
  <si>
    <t>61</t>
  </si>
  <si>
    <t>916719390</t>
  </si>
  <si>
    <t>Normatov Odiljon Azamjon o'g'li</t>
  </si>
  <si>
    <t>Uchtepa</t>
  </si>
  <si>
    <t>911233312</t>
  </si>
  <si>
    <t>Oltiariq tuman 2-son texnikumi</t>
  </si>
  <si>
    <t>Teshaboyev Elmurod Maxmudovich</t>
  </si>
  <si>
    <t>Quvurboshi</t>
  </si>
  <si>
    <t>Laxutiy</t>
  </si>
  <si>
    <t>23.09.1983</t>
  </si>
  <si>
    <t>Temirov Isroiljon Abdiraximovich</t>
  </si>
  <si>
    <t>Xo'jaqo'rg'on</t>
  </si>
  <si>
    <t>Mirtemir</t>
  </si>
  <si>
    <t>905608729</t>
  </si>
  <si>
    <t>Xojamov Ilhomjon Rahmonaliyevich</t>
  </si>
  <si>
    <t>Povulg'on</t>
  </si>
  <si>
    <t>Toshobod</t>
  </si>
  <si>
    <t>999988908</t>
  </si>
  <si>
    <t>Buzrukov Islomxon Ravshanbekovich</t>
  </si>
  <si>
    <t>Azimobod</t>
  </si>
  <si>
    <t>Temiryo'l</t>
  </si>
  <si>
    <t>916590607</t>
  </si>
  <si>
    <t>Oltiariq tuman 3-son texnikumi</t>
  </si>
  <si>
    <t xml:space="preserve">Jomiyev Ulug‘bek O‘ktamovich </t>
  </si>
  <si>
    <t xml:space="preserve">Ibn Sino </t>
  </si>
  <si>
    <t>Maxtumqulli</t>
  </si>
  <si>
    <t>135-a</t>
  </si>
  <si>
    <t>05.12.1972</t>
  </si>
  <si>
    <t>Nishonov Ikboljon Xomidjonovich</t>
  </si>
  <si>
    <t>Zarxal</t>
  </si>
  <si>
    <t>81</t>
  </si>
  <si>
    <t>906348952</t>
  </si>
  <si>
    <t>Umarqulova Maxbubaxon Abdurasulovna</t>
  </si>
  <si>
    <t>Zamaxshariy</t>
  </si>
  <si>
    <t>34</t>
  </si>
  <si>
    <t>912069352</t>
  </si>
  <si>
    <t>Arabboyev Ravshanbek Rasulovich</t>
  </si>
  <si>
    <t>X.Olimjon</t>
  </si>
  <si>
    <t>67</t>
  </si>
  <si>
    <t>25.08.1986</t>
  </si>
  <si>
    <t>911315181</t>
  </si>
  <si>
    <t>Rishton Abu Ali ibn Sino nomidagi Jamoat salomatligi texnikumi</t>
  </si>
  <si>
    <t>Xaydarov Sobitjon Xasanboyevich v.v.b</t>
  </si>
  <si>
    <t>Rishton tumani</t>
  </si>
  <si>
    <t>Pandigon</t>
  </si>
  <si>
    <t>06.10.1985</t>
  </si>
  <si>
    <t>Nosirov Ozodjon Nizomiddinovich</t>
  </si>
  <si>
    <t>Chek-Nasriddin</t>
  </si>
  <si>
    <t>Yangiturmush</t>
  </si>
  <si>
    <t>84</t>
  </si>
  <si>
    <t>Ismailov Dilshodbek Mamasadikovich</t>
  </si>
  <si>
    <t>Mirzaobod</t>
  </si>
  <si>
    <t>Ishonch</t>
  </si>
  <si>
    <t>916620054</t>
  </si>
  <si>
    <t>Nazarov Sardor Anvarjonovich</t>
  </si>
  <si>
    <t>Konizar</t>
  </si>
  <si>
    <t>Chinor</t>
  </si>
  <si>
    <t>905310087</t>
  </si>
  <si>
    <t>Rishton tuman 1-son texnikumi</t>
  </si>
  <si>
    <t>Nurmatov Ulug‘bek Erkinjonovich</t>
  </si>
  <si>
    <t>Bog‘iston</t>
  </si>
  <si>
    <t>Posbonlar</t>
  </si>
  <si>
    <t>24</t>
  </si>
  <si>
    <t>11.06.1984</t>
  </si>
  <si>
    <t>Akbarov Mirzodavlat Qobiljon o'g'li</t>
  </si>
  <si>
    <t>Toshog'oliq</t>
  </si>
  <si>
    <t>Al-Farg'oniy</t>
  </si>
  <si>
    <t>15.10.1998</t>
  </si>
  <si>
    <t>944411407</t>
  </si>
  <si>
    <t>Saidinov Isroiljon Nazirjonovich</t>
  </si>
  <si>
    <t>Amir Temur</t>
  </si>
  <si>
    <t>Oq yo'l</t>
  </si>
  <si>
    <t>75/13</t>
  </si>
  <si>
    <t>903030747</t>
  </si>
  <si>
    <t>Olimov Yunusali Ismoilovich</t>
  </si>
  <si>
    <t>32</t>
  </si>
  <si>
    <t>Rishton tuman 2-son texnikumi</t>
  </si>
  <si>
    <t xml:space="preserve">Nuriddinov Ulugbek Jamoldinovich </t>
  </si>
  <si>
    <t xml:space="preserve">Yoshlik </t>
  </si>
  <si>
    <t>U.Yusupov</t>
  </si>
  <si>
    <t>31.05.1978</t>
  </si>
  <si>
    <t>Sotvoldiyev Ulug'bek Erkinjonovich</t>
  </si>
  <si>
    <t>Markaz</t>
  </si>
  <si>
    <t>Roshidoniy</t>
  </si>
  <si>
    <t>911202288</t>
  </si>
  <si>
    <t>Sobirova Mamura Abdusalomovna</t>
  </si>
  <si>
    <t>Zoxidon</t>
  </si>
  <si>
    <t>941154964</t>
  </si>
  <si>
    <t>Mamadaliyev Sardor Shermuxammadovich</t>
  </si>
  <si>
    <t>1/18</t>
  </si>
  <si>
    <t>505720703</t>
  </si>
  <si>
    <t>Soʻx tuman texnikumi</t>
  </si>
  <si>
    <t>Raupov Ravshanjon Dodoraupovich</t>
  </si>
  <si>
    <t>So‘x tumani</t>
  </si>
  <si>
    <t>Chumoqcha</t>
  </si>
  <si>
    <t>Navobod</t>
  </si>
  <si>
    <t>06.01.1968</t>
  </si>
  <si>
    <t>Mamadaliyev Dostonjon Nimatjonovich</t>
  </si>
  <si>
    <t>So'x tumani</t>
  </si>
  <si>
    <t>Mulgon</t>
  </si>
  <si>
    <t>Ibrat</t>
  </si>
  <si>
    <t>993206775</t>
  </si>
  <si>
    <t>Jamolov Dodojamol Adxamjonovich</t>
  </si>
  <si>
    <t>Armug'on</t>
  </si>
  <si>
    <t>993039922</t>
  </si>
  <si>
    <t>Abdiyev Maxsum Boboyevich</t>
  </si>
  <si>
    <t>So'x</t>
  </si>
  <si>
    <t>Obishir</t>
  </si>
  <si>
    <t>996037750</t>
  </si>
  <si>
    <t>Soʻx pedagogika texnikumi</t>
  </si>
  <si>
    <t>Abduraximov Boburjon Baxodirzod</t>
  </si>
  <si>
    <t>07.06.1991</t>
  </si>
  <si>
    <t>Mamajanova Lola Sharafovna</t>
  </si>
  <si>
    <t>Rovon</t>
  </si>
  <si>
    <t>990885746</t>
  </si>
  <si>
    <t>Aminjonov Doston Amonzoda</t>
  </si>
  <si>
    <t>Demursad</t>
  </si>
  <si>
    <t>952894484</t>
  </si>
  <si>
    <t>Voxidova Xamzaxon Nimatovna</t>
  </si>
  <si>
    <t>Sarikanda</t>
  </si>
  <si>
    <t>Chordara</t>
  </si>
  <si>
    <t>29</t>
  </si>
  <si>
    <t>993418254</t>
  </si>
  <si>
    <t>Toshloq tuman 1-son texnikumi</t>
  </si>
  <si>
    <t>Turdaliyev Xurmatali Yigitaliyevich</t>
  </si>
  <si>
    <t>Chuqurqishloq</t>
  </si>
  <si>
    <t>Oybek</t>
  </si>
  <si>
    <t>24.06.1963</t>
  </si>
  <si>
    <t>Saydaliyev Xayrullo Numanovich</t>
  </si>
  <si>
    <t>Zarkent</t>
  </si>
  <si>
    <t>Bangilar</t>
  </si>
  <si>
    <t>913270086</t>
  </si>
  <si>
    <t>Tulqinov Qudratjon Uchkunovich</t>
  </si>
  <si>
    <t>Axshak</t>
  </si>
  <si>
    <t>Qonjirg'a</t>
  </si>
  <si>
    <t>905321300</t>
  </si>
  <si>
    <t>Topvoldiyev Husniddin Mirzaolim o'g'li</t>
  </si>
  <si>
    <t>Qumariq</t>
  </si>
  <si>
    <t>Xojiota</t>
  </si>
  <si>
    <t>178</t>
  </si>
  <si>
    <t>916693008</t>
  </si>
  <si>
    <t>Toshloq tuman 2-son texnikumi</t>
  </si>
  <si>
    <t>Nishonov Nosirxon Odilxonovich</t>
  </si>
  <si>
    <t>Katta ko‘cha</t>
  </si>
  <si>
    <t>26.01.1986</t>
  </si>
  <si>
    <t>Sattorov Nizomjon Lobirovich</t>
  </si>
  <si>
    <t>Varzak</t>
  </si>
  <si>
    <t>Sallax</t>
  </si>
  <si>
    <t>118</t>
  </si>
  <si>
    <t>904070108</t>
  </si>
  <si>
    <t>Ismonov Jasurbek Umidjon o'g'li</t>
  </si>
  <si>
    <t>129</t>
  </si>
  <si>
    <t>911126763</t>
  </si>
  <si>
    <t>Madraximov Tursunali Xosilovich</t>
  </si>
  <si>
    <t>89</t>
  </si>
  <si>
    <t>916744434</t>
  </si>
  <si>
    <t>Toshloq tuman 3-son texnikumi</t>
  </si>
  <si>
    <t>Miraxmedov Boymatjon Ne’matjon o‘g‘li</t>
  </si>
  <si>
    <t xml:space="preserve">Ko‘lariq </t>
  </si>
  <si>
    <t>21.06.1992</t>
  </si>
  <si>
    <t>G'ulomova Feruza Abduxamidovna</t>
  </si>
  <si>
    <t>Sadda</t>
  </si>
  <si>
    <t>945557711</t>
  </si>
  <si>
    <t>Rahimov Temurbek Umidjon o‘g‘li</t>
  </si>
  <si>
    <t>Hamroh</t>
  </si>
  <si>
    <t>66</t>
  </si>
  <si>
    <t>Gafurov Muxiddinjon Odiljonovich</t>
  </si>
  <si>
    <t>905808970</t>
  </si>
  <si>
    <t>Oʻzbekiston tuman 1-son texnikumi</t>
  </si>
  <si>
    <t>Sattorova Dilfuzaxon Kurbonaliyevna</t>
  </si>
  <si>
    <t>Qirqketmon</t>
  </si>
  <si>
    <t>Mevazor</t>
  </si>
  <si>
    <t>22.12.1976</t>
  </si>
  <si>
    <t>Xolmatov Muzaffarjon Isakovich</t>
  </si>
  <si>
    <t>Eski Yaypan</t>
  </si>
  <si>
    <t>H.Obidov</t>
  </si>
  <si>
    <t>990002577</t>
  </si>
  <si>
    <t>Abduraxmonov Muzaffar Rafiqjonovich</t>
  </si>
  <si>
    <t>Boyariq</t>
  </si>
  <si>
    <t>917530234</t>
  </si>
  <si>
    <t>Tursunqulova Muyasarxon Muxtorovna</t>
  </si>
  <si>
    <t>916822818</t>
  </si>
  <si>
    <t>Oʻzbekiston tuman 2-son texnikumi</t>
  </si>
  <si>
    <t>Umarova Gulnora Mamasoliyevna v.v.b</t>
  </si>
  <si>
    <t>Tuyun</t>
  </si>
  <si>
    <t>Do‘stlarobod</t>
  </si>
  <si>
    <t>05.02.1969</t>
  </si>
  <si>
    <t>Xusanboyeva Sayyora Raxmatovna</t>
  </si>
  <si>
    <t>Shakarobod</t>
  </si>
  <si>
    <t>Oydin</t>
  </si>
  <si>
    <t>23</t>
  </si>
  <si>
    <t>992320134</t>
  </si>
  <si>
    <t>Abduraimov Doniyor Ilxomovich</t>
  </si>
  <si>
    <t>Islom</t>
  </si>
  <si>
    <t>43</t>
  </si>
  <si>
    <t>901519785</t>
  </si>
  <si>
    <t>Umarova Gulnora Mamasoliyevna</t>
  </si>
  <si>
    <t>Tuyul</t>
  </si>
  <si>
    <t>Do'stlarobod qo'rg'oni</t>
  </si>
  <si>
    <t>56</t>
  </si>
  <si>
    <t>911545697</t>
  </si>
  <si>
    <t>Oʻzbekiston tuman 3-son texnikumi</t>
  </si>
  <si>
    <t>Usmonov Toxirjon Ilyasovich</t>
  </si>
  <si>
    <t xml:space="preserve">Katta Yangi </t>
  </si>
  <si>
    <t>Zamona</t>
  </si>
  <si>
    <t>12.04.1985</t>
  </si>
  <si>
    <t>Sobirova Durdonaxon Baxodirjon qizi</t>
  </si>
  <si>
    <t>O'zbekiston tumani</t>
  </si>
  <si>
    <t>Qudash</t>
  </si>
  <si>
    <t>Oq oltin</t>
  </si>
  <si>
    <t>Abduraimova Zarnigorxon Ikromovna</t>
  </si>
  <si>
    <t>Kenjabayev Kazimjon Djumanovich</t>
  </si>
  <si>
    <t>93</t>
  </si>
  <si>
    <t>Oʻzbekiston tuman 4-son texnikumi</t>
  </si>
  <si>
    <t>Qurbonov Shuxrat Nabiyevich</t>
  </si>
  <si>
    <t>Yakka tut</t>
  </si>
  <si>
    <t>27.01.1965</t>
  </si>
  <si>
    <t>Abdullayeva Gulnoraxon Ne'matovna</t>
  </si>
  <si>
    <t>Do'ngsaroy</t>
  </si>
  <si>
    <t>912041054</t>
  </si>
  <si>
    <t>Abdullayev Soyibjon Orifjonovich</t>
  </si>
  <si>
    <t>53</t>
  </si>
  <si>
    <t>916282864</t>
  </si>
  <si>
    <t>Sobirov Javohir Ravshanjon o'g'li</t>
  </si>
  <si>
    <t>Yangi yo'l</t>
  </si>
  <si>
    <t>86</t>
  </si>
  <si>
    <t>915007006</t>
  </si>
  <si>
    <t>Uchkoʻprik tuman 1-son texnikumi</t>
  </si>
  <si>
    <t>Arslonov Yusufbek Numonbekovich</t>
  </si>
  <si>
    <t>Begmurod</t>
  </si>
  <si>
    <t>28.07.1984</t>
  </si>
  <si>
    <t>Yigitaliyeva Moxira Abduxamidovna</t>
  </si>
  <si>
    <t>Bahrin</t>
  </si>
  <si>
    <t>46</t>
  </si>
  <si>
    <t>921441044</t>
  </si>
  <si>
    <t>Musajonov Qobiljon Rafiqovich</t>
  </si>
  <si>
    <t>Xasanqora</t>
  </si>
  <si>
    <t>Ipak yo'li</t>
  </si>
  <si>
    <t>882066000</t>
  </si>
  <si>
    <t>Jo'rayev Sardor Nabiyevich</t>
  </si>
  <si>
    <t>Anhor</t>
  </si>
  <si>
    <t>911490011</t>
  </si>
  <si>
    <t>Uchkoʻprik tuman 2-son texnikumi</t>
  </si>
  <si>
    <t>Xolmatov Nozimjon Ne’matovich</t>
  </si>
  <si>
    <t>Zig‘ip</t>
  </si>
  <si>
    <t>Obod tepa</t>
  </si>
  <si>
    <t>277</t>
  </si>
  <si>
    <t>09.04.1981.</t>
  </si>
  <si>
    <t>Abdukarimov Iqboljon Sotvoldiyevich</t>
  </si>
  <si>
    <t>Oltin vodiy</t>
  </si>
  <si>
    <t>916957817</t>
  </si>
  <si>
    <t>Nuraliyev Ikromjon Isakovich</t>
  </si>
  <si>
    <t>Sohil</t>
  </si>
  <si>
    <t>883651638</t>
  </si>
  <si>
    <t>Fargʻona tumani Abu Ali ibn Sino nomidagi Jamoat salomatligi texnikumi</t>
  </si>
  <si>
    <t>Normatov Baxodirjon Tuxtasinovich</t>
  </si>
  <si>
    <t>Farg‘ona shahari</t>
  </si>
  <si>
    <t>O‘rta sho‘ra</t>
  </si>
  <si>
    <t>Hamjihatlik</t>
  </si>
  <si>
    <t>31.03.1966</t>
  </si>
  <si>
    <t>Isroilova Nilufar Yusubjon qizi</t>
  </si>
  <si>
    <t>Mindon</t>
  </si>
  <si>
    <t>Sharq xaqiqati</t>
  </si>
  <si>
    <t>10.02.1997</t>
  </si>
  <si>
    <t>905361991</t>
  </si>
  <si>
    <t>Sultonov Hayotjon Fazlidinovich</t>
  </si>
  <si>
    <t>Gulshan</t>
  </si>
  <si>
    <t>937356531</t>
  </si>
  <si>
    <t>Fargʻona tuman 1-son texnikumi</t>
  </si>
  <si>
    <t>Qutbiddinov Elyor Zoiroviya</t>
  </si>
  <si>
    <t>Uchko‘rik tumani</t>
  </si>
  <si>
    <t>Katta kenegas</t>
  </si>
  <si>
    <t>Tog‘liq</t>
  </si>
  <si>
    <t>Xolmatov Uchqunjon Xamidulloyevich</t>
  </si>
  <si>
    <t>Farg'ona tumani</t>
  </si>
  <si>
    <t>13.05.1985</t>
  </si>
  <si>
    <t>901664433</t>
  </si>
  <si>
    <t>Azizov Jaloldin Abdurayimovich</t>
  </si>
  <si>
    <t>Nurli kelajak</t>
  </si>
  <si>
    <t>903035670</t>
  </si>
  <si>
    <t>Axmedov Solijon Mirzaliyevich</t>
  </si>
  <si>
    <t>111</t>
  </si>
  <si>
    <t>903013126</t>
  </si>
  <si>
    <t>Fargʻona tuman 2-son texnikumi</t>
  </si>
  <si>
    <t>Abduraxmonov Sodiqjon Sobirjonovich</t>
  </si>
  <si>
    <t>Farg‘ona tumani</t>
  </si>
  <si>
    <t>Yangi yo‘l</t>
  </si>
  <si>
    <t>21</t>
  </si>
  <si>
    <t>14.11.1982</t>
  </si>
  <si>
    <t>Xoliqov Ilxomjon Akbaraliyevich</t>
  </si>
  <si>
    <t>Fargʻona</t>
  </si>
  <si>
    <t>Obihayot</t>
  </si>
  <si>
    <t>52</t>
  </si>
  <si>
    <t>993698283</t>
  </si>
  <si>
    <t>Shokirov Anvarali Asqaraliyevich</t>
  </si>
  <si>
    <t>Gulbogʻ</t>
  </si>
  <si>
    <t>999030272</t>
  </si>
  <si>
    <t>Mansurov Zafarjon Xalillibloyevich</t>
  </si>
  <si>
    <t>Sugʻorish</t>
  </si>
  <si>
    <t>994748710</t>
  </si>
  <si>
    <t>Fargʻona tuman 3-son texnikumi</t>
  </si>
  <si>
    <t>Davlatov Nuriddin Muydinovich</t>
  </si>
  <si>
    <t>Oqtepa</t>
  </si>
  <si>
    <t>28,02,1984</t>
  </si>
  <si>
    <t>Shermatov Dostonbek Uktamjon o'g'li</t>
  </si>
  <si>
    <t>Avval</t>
  </si>
  <si>
    <t>917790201</t>
  </si>
  <si>
    <t>Muydinov Mirolim Murodilovich</t>
  </si>
  <si>
    <t>Birdamlik</t>
  </si>
  <si>
    <t>O'zbegim</t>
  </si>
  <si>
    <t>999791835</t>
  </si>
  <si>
    <t>Azamov Aziz Azimovich</t>
  </si>
  <si>
    <t>Qorasuv</t>
  </si>
  <si>
    <t>Oqibat</t>
  </si>
  <si>
    <t>916764884</t>
  </si>
  <si>
    <t>Fargʻona tuman 4-son texnikumi</t>
  </si>
  <si>
    <t>Zaylopova Maxpiratxon Mamirjonovna</t>
  </si>
  <si>
    <t>Yangi asr</t>
  </si>
  <si>
    <t xml:space="preserve">Mustaqillik Shukuronasi </t>
  </si>
  <si>
    <t>25.06.1982</t>
  </si>
  <si>
    <t>Sobirov Nuriddin Abdumalikovich</t>
  </si>
  <si>
    <t>Fargʻona tumani</t>
  </si>
  <si>
    <t>Xoʻja Ahmad Vale</t>
  </si>
  <si>
    <t>Yettichinor</t>
  </si>
  <si>
    <t>916664090</t>
  </si>
  <si>
    <t>Safarova Zarnigor Maxamatsaid qizi</t>
  </si>
  <si>
    <t>Barqaror Hamjixat</t>
  </si>
  <si>
    <t>Faxr</t>
  </si>
  <si>
    <t>63</t>
  </si>
  <si>
    <t>Gaipov Dovlatjon Sharobidinovich</t>
  </si>
  <si>
    <t>Bahor</t>
  </si>
  <si>
    <t>Fargʻona shahar Abu Ali ibn Sino nomidagi Jamoat salomatligi texnikumi</t>
  </si>
  <si>
    <t xml:space="preserve">Xaydarov Gulomnazir Ortikovich </t>
  </si>
  <si>
    <t>Beshtol</t>
  </si>
  <si>
    <t>28.05.1957</t>
  </si>
  <si>
    <t>Kodirov Ismoil Tuxtanboyevich</t>
  </si>
  <si>
    <t>10/20</t>
  </si>
  <si>
    <t>905376844</t>
  </si>
  <si>
    <t>Turg'unov Dilmurod Abdusattorovich</t>
  </si>
  <si>
    <t>296</t>
  </si>
  <si>
    <t>905833663</t>
  </si>
  <si>
    <t>Imomov A'zamjon Nizomiddinovich</t>
  </si>
  <si>
    <t>Cho'lquvar</t>
  </si>
  <si>
    <t>916647977</t>
  </si>
  <si>
    <t>Lola Murotova nomidagi qishloq xoʻjaligiga ixtisoslashgan texnikum</t>
  </si>
  <si>
    <t>Xoliqova Gulira’no 
Yulchiboy qizi</t>
  </si>
  <si>
    <t>Qayrag‘och</t>
  </si>
  <si>
    <t>01.10.1995</t>
  </si>
  <si>
    <t>Yulchiyev Sirojiddin Solijonovich</t>
  </si>
  <si>
    <t>01.06.1987</t>
  </si>
  <si>
    <t>908390332</t>
  </si>
  <si>
    <t>Omonov Abduvoxid Xasan o'g'li</t>
  </si>
  <si>
    <t>Yangiariq</t>
  </si>
  <si>
    <t>Nufuz</t>
  </si>
  <si>
    <t>24.07.1991</t>
  </si>
  <si>
    <t>948060202</t>
  </si>
  <si>
    <t>Askarov Xasanboy Nuridinovich</t>
  </si>
  <si>
    <t>21.08.1981</t>
  </si>
  <si>
    <t>916677996</t>
  </si>
  <si>
    <t>Fargʻona ilgʻor kasbiy mahorat texnikumi</t>
  </si>
  <si>
    <t>Isaqov Sardorbek Zokirovich</t>
  </si>
  <si>
    <t>Farg‘ona shahar</t>
  </si>
  <si>
    <t>Shakarqishloq</t>
  </si>
  <si>
    <t>Tarona</t>
  </si>
  <si>
    <t>16/23</t>
  </si>
  <si>
    <t>09.10.1988</t>
  </si>
  <si>
    <t>O'rinboyev Abdulaxad Abduraximovich</t>
  </si>
  <si>
    <t>Shodon</t>
  </si>
  <si>
    <t>10</t>
  </si>
  <si>
    <t>905855826</t>
  </si>
  <si>
    <t>Xasanov Zoirjon Tursinaliyevich</t>
  </si>
  <si>
    <t>16/57</t>
  </si>
  <si>
    <t>03.07.1982</t>
  </si>
  <si>
    <t>972141424</t>
  </si>
  <si>
    <t>Safarov Radjabboy Eshmuxammadovich</t>
  </si>
  <si>
    <t>Muruvvat</t>
  </si>
  <si>
    <t>53/26</t>
  </si>
  <si>
    <t>939711861</t>
  </si>
  <si>
    <t>Fargʻona shahar 1-son texnikumi</t>
  </si>
  <si>
    <t>Teshabayeva Nigora Inomdjonovna</t>
  </si>
  <si>
    <t>31.10.1982</t>
  </si>
  <si>
    <t>Sultonov Xayrullo Inomovich</t>
  </si>
  <si>
    <t>907796500</t>
  </si>
  <si>
    <t>Tursunov Inomjon Muminjonovich</t>
  </si>
  <si>
    <t>8-mart</t>
  </si>
  <si>
    <t>913281747</t>
  </si>
  <si>
    <t>Oxunov Qudratjon Qodiraliyevich</t>
  </si>
  <si>
    <t>Paxtakor</t>
  </si>
  <si>
    <t>39</t>
  </si>
  <si>
    <t>902329889</t>
  </si>
  <si>
    <t>Fargʻona shahar 2-son texnikumi</t>
  </si>
  <si>
    <t xml:space="preserve">Mirzajonov Jamshid  Kaxorjon ugli </t>
  </si>
  <si>
    <t>Maorif</t>
  </si>
  <si>
    <t>Ravon</t>
  </si>
  <si>
    <t>06.07.1990</t>
  </si>
  <si>
    <t>Ashurov Shaxzodbek Xamdamjon o'g'li</t>
  </si>
  <si>
    <t>Palaxon</t>
  </si>
  <si>
    <t>Zakovat</t>
  </si>
  <si>
    <t>21a</t>
  </si>
  <si>
    <t>911118088</t>
  </si>
  <si>
    <t>Usmonov Abdullajon Abdulazizovich</t>
  </si>
  <si>
    <t>Qoʻshtepa tumani</t>
  </si>
  <si>
    <t>Katta beshkapa</t>
  </si>
  <si>
    <t>Bogʻimaydon</t>
  </si>
  <si>
    <t>148</t>
  </si>
  <si>
    <t>943996262</t>
  </si>
  <si>
    <t>Umarov Adxamjon Xaydarovich</t>
  </si>
  <si>
    <t>Choʻvrindi</t>
  </si>
  <si>
    <t>87</t>
  </si>
  <si>
    <t>990635830</t>
  </si>
  <si>
    <t>Fargʻona shahar 3-son texnikumi</t>
  </si>
  <si>
    <t>Eminov Alisher Abduqodirovich</t>
  </si>
  <si>
    <t xml:space="preserve">Mash‘al </t>
  </si>
  <si>
    <t>20/1</t>
  </si>
  <si>
    <t>06.04.1976</t>
  </si>
  <si>
    <t>Mamasoliyeva Feruzaxon Zaynobidin qizi</t>
  </si>
  <si>
    <t>Yangisoy</t>
  </si>
  <si>
    <t>Yangi turon</t>
  </si>
  <si>
    <t>173/53</t>
  </si>
  <si>
    <t>Maxsudov Farxodjon Tursunovich</t>
  </si>
  <si>
    <t>29v19</t>
  </si>
  <si>
    <t>Fargʻona shahar 4-son texnikumi</t>
  </si>
  <si>
    <t xml:space="preserve">Umarov Ravshanjon Gafurovich </t>
  </si>
  <si>
    <t>Bo‘ston</t>
  </si>
  <si>
    <t>Novqat</t>
  </si>
  <si>
    <t xml:space="preserve">05.08.1971 </t>
  </si>
  <si>
    <t>Axmadjonov Mirjalol Azamjonovich</t>
  </si>
  <si>
    <t>A.Qaxxor</t>
  </si>
  <si>
    <t>908482320</t>
  </si>
  <si>
    <t>Maxsumova Shaxnoza Shuxratjonovna</t>
  </si>
  <si>
    <t>939849984</t>
  </si>
  <si>
    <t>O'rinov Abdulaziz Akramovich</t>
  </si>
  <si>
    <t>Tabassum</t>
  </si>
  <si>
    <t>39/8</t>
  </si>
  <si>
    <t>903900439</t>
  </si>
  <si>
    <t>Fargʻona shahar 5-son texnikumi</t>
  </si>
  <si>
    <t>Yusupova Feruzaxon Murtazoxonovna v.v.b</t>
  </si>
  <si>
    <t>Gulzor</t>
  </si>
  <si>
    <t>A.Navoyi</t>
  </si>
  <si>
    <t>60/23</t>
  </si>
  <si>
    <t>30.04.1986</t>
  </si>
  <si>
    <t>Yusupova Feruzaxon Murtazoxonovna</t>
  </si>
  <si>
    <t>903647771</t>
  </si>
  <si>
    <t>Azimov Anvarjon Azizjon o'g'li</t>
  </si>
  <si>
    <t>Beshbola</t>
  </si>
  <si>
    <t>20/21</t>
  </si>
  <si>
    <t>884132200</t>
  </si>
  <si>
    <t>Yuldasheva Manzuraxon Zokirjon qizi</t>
  </si>
  <si>
    <t>Sovurbuloq</t>
  </si>
  <si>
    <t>186</t>
  </si>
  <si>
    <t>945127553</t>
  </si>
  <si>
    <t>Furqat tuman texnikumi</t>
  </si>
  <si>
    <t>Abdullayeva Shaxzoda Rasulovna</t>
  </si>
  <si>
    <t>Ayritom</t>
  </si>
  <si>
    <t>Oq suv</t>
  </si>
  <si>
    <t>24.04.1969</t>
  </si>
  <si>
    <t>Qodirova Nargiza Obidjonovna</t>
  </si>
  <si>
    <t>Ardoxshon</t>
  </si>
  <si>
    <t>Moxirlar</t>
  </si>
  <si>
    <t>2</t>
  </si>
  <si>
    <t>979660121</t>
  </si>
  <si>
    <t>Madumarov Xusniddin Saminovich</t>
  </si>
  <si>
    <t>Qizil qiyoq</t>
  </si>
  <si>
    <t>151</t>
  </si>
  <si>
    <t>997908331</t>
  </si>
  <si>
    <t>Sultonmirzayev Sardorbek Sarvarjon o‘g‘li</t>
  </si>
  <si>
    <t>Temiryo‘lchi</t>
  </si>
  <si>
    <t>142</t>
  </si>
  <si>
    <t>Fargʻona yuridik texnikumi</t>
  </si>
  <si>
    <t>O‘rmonov Gʻolibjon Solijonovich v.v.b</t>
  </si>
  <si>
    <t xml:space="preserve">Yangiarab </t>
  </si>
  <si>
    <t>Qudratbuva</t>
  </si>
  <si>
    <t>08.07.1980</t>
  </si>
  <si>
    <t>Karachayeva Muxabbat Muxammadovna</t>
  </si>
  <si>
    <t>Yormado'z</t>
  </si>
  <si>
    <t>Al-Hidoya</t>
  </si>
  <si>
    <t>903687774</t>
  </si>
  <si>
    <t>Meliboyeva Dilnoza Ergashevna</t>
  </si>
  <si>
    <t>Parvoz</t>
  </si>
  <si>
    <t>Alisher Navoiy</t>
  </si>
  <si>
    <t>157a</t>
  </si>
  <si>
    <t>903002000</t>
  </si>
  <si>
    <t>O'rmonov G'olibjon Solijonovich</t>
  </si>
  <si>
    <t>Yangiarab</t>
  </si>
  <si>
    <t>911172050</t>
  </si>
  <si>
    <t>31.07.1979</t>
  </si>
  <si>
    <t>Tatil</t>
  </si>
  <si>
    <t>tatilda</t>
  </si>
  <si>
    <t>12.12.1996</t>
  </si>
  <si>
    <t>31.07.1990</t>
  </si>
  <si>
    <t>884181616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</si>
</sst>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sz val="11"/>
      <name val="Calibri"/>
      <family val="2"/>
      <charset val="204"/>
    </font>
    <font>
      <b/>
      <sz val="1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5" fillId="0" borderId="0"/>
    <xf numFmtId="0" fontId="8" fillId="0" borderId="0">
      <alignment vertical="center"/>
    </xf>
    <xf numFmtId="0" fontId="5" fillId="0" borderId="0"/>
  </cellStyleXfs>
  <cellXfs count="97">
    <xf numFmtId="0" fontId="0" fillId="0" borderId="0" xfId="0"/>
    <xf numFmtId="49" fontId="0" fillId="0" borderId="0" xfId="0" applyNumberFormat="1"/>
    <xf numFmtId="49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1" xfId="3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" fillId="0" borderId="1" xfId="3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left" vertical="center"/>
    </xf>
    <xf numFmtId="0" fontId="11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1" fillId="5" borderId="1" xfId="3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 applyProtection="1">
      <alignment horizontal="center" vertical="center"/>
      <protection locked="0"/>
    </xf>
    <xf numFmtId="3" fontId="2" fillId="5" borderId="1" xfId="0" applyNumberFormat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left" vertical="center"/>
    </xf>
    <xf numFmtId="0" fontId="3" fillId="5" borderId="1" xfId="2" applyFont="1" applyFill="1" applyBorder="1" applyAlignment="1">
      <alignment horizontal="center" vertical="center"/>
    </xf>
    <xf numFmtId="49" fontId="3" fillId="5" borderId="1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7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8" borderId="0" xfId="0" applyFill="1" applyAlignment="1">
      <alignment horizontal="right"/>
    </xf>
    <xf numFmtId="0" fontId="0" fillId="8" borderId="0" xfId="0" applyFill="1"/>
    <xf numFmtId="0" fontId="0" fillId="2" borderId="0" xfId="0" applyFill="1" applyAlignment="1">
      <alignment horizontal="right"/>
    </xf>
    <xf numFmtId="0" fontId="3" fillId="5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11" fillId="2" borderId="0" xfId="0" applyFont="1" applyFill="1"/>
    <xf numFmtId="0" fontId="0" fillId="6" borderId="1" xfId="0" applyFill="1" applyBorder="1"/>
    <xf numFmtId="0" fontId="0" fillId="5" borderId="1" xfId="0" applyFill="1" applyBorder="1"/>
    <xf numFmtId="0" fontId="11" fillId="5" borderId="1" xfId="0" applyFont="1" applyFill="1" applyBorder="1"/>
    <xf numFmtId="0" fontId="0" fillId="2" borderId="1" xfId="0" applyFill="1" applyBorder="1"/>
    <xf numFmtId="0" fontId="11" fillId="2" borderId="1" xfId="0" applyFont="1" applyFill="1" applyBorder="1"/>
    <xf numFmtId="0" fontId="10" fillId="5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wrapText="1"/>
    </xf>
    <xf numFmtId="0" fontId="0" fillId="0" borderId="0" xfId="0"/>
    <xf numFmtId="49" fontId="0" fillId="0" borderId="0" xfId="0" applyNumberFormat="1"/>
  </cellXfs>
  <cellStyles count="5">
    <cellStyle name="Обычный" xfId="0" builtinId="0"/>
    <cellStyle name="Обычный 2" xfId="2"/>
    <cellStyle name="Обычный 3" xfId="3"/>
    <cellStyle name="Обычный 4" xfId="4"/>
    <cellStyle name="Обычный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C13" sqref="C13"/>
    </sheetView>
  </sheetViews>
  <sheetFormatPr defaultRowHeight="15" x14ac:dyDescent="0.25"/>
  <cols>
    <col min="1" max="1" width="19.28515625" style="13" bestFit="1" customWidth="1"/>
  </cols>
  <sheetData>
    <row r="1" spans="1:2" x14ac:dyDescent="0.25">
      <c r="A1" t="s">
        <v>0</v>
      </c>
      <c r="B1">
        <v>67</v>
      </c>
    </row>
    <row r="3" spans="1:2" x14ac:dyDescent="0.25">
      <c r="A3" s="70" t="s">
        <v>1</v>
      </c>
      <c r="B3" s="70">
        <f>COUNTIF(Лист1!$E$6:$E$273,"Direktor")</f>
        <v>67</v>
      </c>
    </row>
    <row r="4" spans="1:2" x14ac:dyDescent="0.25">
      <c r="A4" s="71" t="s">
        <v>2</v>
      </c>
      <c r="B4" s="72">
        <f>COUNTIFS(Лист1!$E$6:$E$273,"Direktor",Лист1!$D$6:$D$273,"")</f>
        <v>54</v>
      </c>
    </row>
    <row r="5" spans="1:2" x14ac:dyDescent="0.25">
      <c r="A5" s="75" t="s">
        <v>3</v>
      </c>
      <c r="B5" s="55">
        <f>COUNTIFS(Лист1!$E$6:$E$273,"Direktor",Лист1!$D$6:$D$273,"v")</f>
        <v>2</v>
      </c>
    </row>
    <row r="6" spans="1:2" x14ac:dyDescent="0.25">
      <c r="A6" s="73" t="s">
        <v>4</v>
      </c>
      <c r="B6" s="74">
        <f>COUNTIFS(Лист1!$E$6:$E$273,"Direktor",Лист1!$D$6:$D$273,"vk")</f>
        <v>11</v>
      </c>
    </row>
    <row r="8" spans="1:2" x14ac:dyDescent="0.25">
      <c r="A8" s="70" t="s">
        <v>5</v>
      </c>
      <c r="B8" s="70">
        <f>COUNTIF(Лист1!$E$6:$E$273,"Direktorining*")</f>
        <v>201</v>
      </c>
    </row>
    <row r="9" spans="1:2" x14ac:dyDescent="0.25">
      <c r="A9" s="71" t="s">
        <v>2</v>
      </c>
      <c r="B9" s="72">
        <f>COUNTIFS(Лист1!$E$6:$E$273,"Direktorining*",Лист1!$D$6:$D$273,"")</f>
        <v>164</v>
      </c>
    </row>
    <row r="10" spans="1:2" x14ac:dyDescent="0.25">
      <c r="A10" s="75" t="s">
        <v>3</v>
      </c>
      <c r="B10" s="55">
        <f>COUNTIFS(Лист1!$E$6:$E$273,"Direktorining*",Лист1!$D$6:$D$273,"v")</f>
        <v>26</v>
      </c>
    </row>
    <row r="11" spans="1:2" x14ac:dyDescent="0.25">
      <c r="A11" s="73" t="s">
        <v>4</v>
      </c>
      <c r="B11" s="74">
        <f>COUNTIFS(Лист1!$E$6:$E$273,"Direktorining*",Лист1!$D$6:$D$273,"vk")</f>
        <v>11</v>
      </c>
    </row>
    <row r="13" spans="1:2" x14ac:dyDescent="0.25">
      <c r="A13" s="70" t="s">
        <v>6</v>
      </c>
      <c r="B13" s="70">
        <f>COUNTIF(Лист1!$E$6:$E$273,"Direktorining o‘quv ishlari bo‘yicha o‘rinbosari")</f>
        <v>67</v>
      </c>
    </row>
    <row r="14" spans="1:2" x14ac:dyDescent="0.25">
      <c r="A14" s="71" t="s">
        <v>2</v>
      </c>
      <c r="B14" s="72">
        <f>COUNTIFS(Лист1!$E$6:$E$273,"Direktorining o‘quv ishlari bo‘yicha o‘rinbosari",Лист1!$D$6:$D$273,"")</f>
        <v>58</v>
      </c>
    </row>
    <row r="15" spans="1:2" x14ac:dyDescent="0.25">
      <c r="A15" s="75" t="s">
        <v>3</v>
      </c>
      <c r="B15" s="55">
        <f>COUNTIFS(Лист1!$E$6:$E$273,"Direktorining o‘quv ishlari bo‘yicha o‘rinbosari",Лист1!$D$6:$D$273,"v")</f>
        <v>7</v>
      </c>
    </row>
    <row r="16" spans="1:2" x14ac:dyDescent="0.25">
      <c r="A16" s="73" t="s">
        <v>4</v>
      </c>
      <c r="B16" s="74">
        <f>COUNTIFS(Лист1!$E$6:$E$273,"Direktorining o‘quv ishlari bo‘yicha o‘rinbosari",Лист1!$D$6:$D$273,"vk")</f>
        <v>2</v>
      </c>
    </row>
    <row r="18" spans="1:2" x14ac:dyDescent="0.25">
      <c r="A18" s="70" t="s">
        <v>7</v>
      </c>
      <c r="B18" s="70">
        <f>COUNTIF(Лист1!$E$6:$E$273,"Direktorining yoshlar bilan ishlash bo‘yicha o‘rinbosari")</f>
        <v>67</v>
      </c>
    </row>
    <row r="19" spans="1:2" x14ac:dyDescent="0.25">
      <c r="A19" s="71" t="s">
        <v>2</v>
      </c>
      <c r="B19" s="72">
        <f>COUNTIFS(Лист1!$E$6:$E$273,"Direktorining yoshlar bilan ishlash bo‘yicha o‘rinbosari",Лист1!$D$6:$D$273,"")</f>
        <v>56</v>
      </c>
    </row>
    <row r="20" spans="1:2" x14ac:dyDescent="0.25">
      <c r="A20" s="75" t="s">
        <v>3</v>
      </c>
      <c r="B20" s="55">
        <f>COUNTIFS(Лист1!$E$6:$E$273,"Direktorining yoshlar bilan ishlash bo‘yicha o‘rinbosari",Лист1!$D$6:$D$273,"v")</f>
        <v>6</v>
      </c>
    </row>
    <row r="21" spans="1:2" x14ac:dyDescent="0.25">
      <c r="A21" s="73" t="s">
        <v>4</v>
      </c>
      <c r="B21" s="74">
        <f>COUNTIFS(Лист1!$E$6:$E$273,"Direktorining yoshlar bilan ishlash bo‘yicha o‘rinbosari",Лист1!$D$6:$D$273,"vk")</f>
        <v>5</v>
      </c>
    </row>
    <row r="23" spans="1:2" x14ac:dyDescent="0.25">
      <c r="A23" s="70" t="s">
        <v>8</v>
      </c>
      <c r="B23" s="70">
        <f>COUNTIF(Лист1!$E$6:$E$273,"Direktorining ishlab chiqarish ta’limi bo‘yicha o‘rinbosari")</f>
        <v>67</v>
      </c>
    </row>
    <row r="24" spans="1:2" x14ac:dyDescent="0.25">
      <c r="A24" s="71" t="s">
        <v>2</v>
      </c>
      <c r="B24" s="72">
        <f>COUNTIFS(Лист1!$E$6:$E$273,"Direktorining ishlab chiqarish ta’limi bo‘yicha o‘rinbosari",Лист1!$D$6:$D$273,"")</f>
        <v>50</v>
      </c>
    </row>
    <row r="25" spans="1:2" x14ac:dyDescent="0.25">
      <c r="A25" s="75" t="s">
        <v>3</v>
      </c>
      <c r="B25" s="55">
        <f>COUNTIFS(Лист1!$E$6:$E$273,"Direktorining ishlab chiqarish ta’limi bo‘yicha o‘rinbosari",Лист1!$D$6:$D$273,"v")</f>
        <v>13</v>
      </c>
    </row>
    <row r="26" spans="1:2" x14ac:dyDescent="0.25">
      <c r="A26" s="73" t="s">
        <v>4</v>
      </c>
      <c r="B26" s="74">
        <f>COUNTIFS(Лист1!$E$6:$E$273,"Direktorining ishlab chiqarish ta’limi bo‘yicha o‘rinbosari",Лист1!$D$6:$D$273,"vk")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tabSelected="1" topLeftCell="A235" zoomScale="70" zoomScaleNormal="70" workbookViewId="0">
      <selection activeCell="D270" sqref="D270"/>
    </sheetView>
  </sheetViews>
  <sheetFormatPr defaultRowHeight="15" x14ac:dyDescent="0.25"/>
  <cols>
    <col min="1" max="1" width="5.140625" style="13" customWidth="1"/>
    <col min="2" max="2" width="72.28515625" style="13" bestFit="1" customWidth="1"/>
    <col min="3" max="3" width="46.42578125" style="13" bestFit="1" customWidth="1"/>
    <col min="4" max="4" width="10.42578125" style="13" customWidth="1"/>
    <col min="5" max="5" width="56.5703125" style="13" bestFit="1" customWidth="1"/>
    <col min="6" max="6" width="11.85546875" style="13" bestFit="1" customWidth="1"/>
    <col min="7" max="7" width="20" style="13" customWidth="1"/>
    <col min="8" max="8" width="20" style="13" bestFit="1" customWidth="1"/>
    <col min="9" max="9" width="25" style="13" bestFit="1" customWidth="1"/>
    <col min="10" max="10" width="11.7109375" style="1" bestFit="1" customWidth="1"/>
    <col min="11" max="11" width="14.7109375" style="13" bestFit="1" customWidth="1"/>
    <col min="12" max="12" width="17" style="13" bestFit="1" customWidth="1"/>
    <col min="13" max="13" width="9.140625" style="13" customWidth="1"/>
    <col min="14" max="16384" width="9.140625" style="13"/>
  </cols>
  <sheetData>
    <row r="1" spans="1:13" ht="45.75" customHeight="1" x14ac:dyDescent="0.3">
      <c r="A1" s="94" t="s">
        <v>9</v>
      </c>
      <c r="B1" s="95"/>
      <c r="C1" s="95"/>
      <c r="D1" s="95"/>
      <c r="E1" s="95"/>
      <c r="F1" s="95"/>
      <c r="G1" s="95"/>
      <c r="H1" s="95"/>
      <c r="I1" s="95"/>
      <c r="J1" s="96"/>
      <c r="K1" s="95"/>
      <c r="L1" s="95"/>
    </row>
    <row r="3" spans="1:13" ht="15.75" customHeight="1" x14ac:dyDescent="0.25">
      <c r="A3" s="89" t="s">
        <v>10</v>
      </c>
      <c r="B3" s="89" t="s">
        <v>11</v>
      </c>
      <c r="C3" s="89" t="s">
        <v>12</v>
      </c>
      <c r="D3" s="89" t="s">
        <v>13</v>
      </c>
      <c r="E3" s="89" t="s">
        <v>14</v>
      </c>
      <c r="F3" s="89" t="s">
        <v>15</v>
      </c>
      <c r="G3" s="91"/>
      <c r="H3" s="91"/>
      <c r="I3" s="91"/>
      <c r="J3" s="92"/>
      <c r="K3" s="89" t="s">
        <v>16</v>
      </c>
      <c r="L3" s="89" t="s">
        <v>17</v>
      </c>
      <c r="M3" s="89" t="s">
        <v>1130</v>
      </c>
    </row>
    <row r="4" spans="1:13" ht="15.75" customHeight="1" x14ac:dyDescent="0.25">
      <c r="A4" s="93"/>
      <c r="B4" s="93"/>
      <c r="C4" s="93"/>
      <c r="D4" s="93"/>
      <c r="E4" s="93"/>
      <c r="F4" s="57" t="s">
        <v>18</v>
      </c>
      <c r="G4" s="57" t="s">
        <v>19</v>
      </c>
      <c r="H4" s="57" t="s">
        <v>20</v>
      </c>
      <c r="I4" s="57" t="s">
        <v>21</v>
      </c>
      <c r="J4" s="27" t="s">
        <v>22</v>
      </c>
      <c r="K4" s="93"/>
      <c r="L4" s="90"/>
      <c r="M4" s="90"/>
    </row>
    <row r="5" spans="1:13" ht="15.75" customHeight="1" x14ac:dyDescent="0.25">
      <c r="A5" s="57"/>
      <c r="B5" s="57"/>
      <c r="C5" s="57"/>
      <c r="D5" s="57"/>
      <c r="E5" s="57"/>
      <c r="F5" s="57"/>
      <c r="G5" s="57"/>
      <c r="H5" s="57"/>
      <c r="I5" s="57"/>
      <c r="J5" s="27"/>
      <c r="K5" s="57"/>
      <c r="L5" s="69"/>
      <c r="M5" s="28"/>
    </row>
    <row r="6" spans="1:13" ht="15.75" customHeight="1" x14ac:dyDescent="0.25">
      <c r="A6" s="12">
        <v>1</v>
      </c>
      <c r="B6" s="3" t="s">
        <v>23</v>
      </c>
      <c r="C6" s="2" t="s">
        <v>24</v>
      </c>
      <c r="D6" s="2"/>
      <c r="E6" s="2" t="s">
        <v>25</v>
      </c>
      <c r="F6" s="4" t="s">
        <v>26</v>
      </c>
      <c r="G6" s="2" t="s">
        <v>27</v>
      </c>
      <c r="H6" s="2" t="s">
        <v>28</v>
      </c>
      <c r="I6" s="2" t="s">
        <v>29</v>
      </c>
      <c r="J6" s="14" t="s">
        <v>30</v>
      </c>
      <c r="K6" s="14" t="s">
        <v>31</v>
      </c>
      <c r="L6" s="14">
        <v>910009005</v>
      </c>
      <c r="M6" s="28" t="s">
        <v>1131</v>
      </c>
    </row>
    <row r="7" spans="1:13" ht="15.75" customHeight="1" x14ac:dyDescent="0.25">
      <c r="A7" s="12">
        <v>2</v>
      </c>
      <c r="B7" s="3" t="s">
        <v>23</v>
      </c>
      <c r="C7" s="9" t="s">
        <v>32</v>
      </c>
      <c r="D7" s="9"/>
      <c r="E7" s="9" t="s">
        <v>33</v>
      </c>
      <c r="F7" s="9" t="s">
        <v>34</v>
      </c>
      <c r="G7" s="9" t="s">
        <v>35</v>
      </c>
      <c r="H7" s="9" t="s">
        <v>36</v>
      </c>
      <c r="I7" s="9" t="s">
        <v>37</v>
      </c>
      <c r="J7" s="15">
        <v>59</v>
      </c>
      <c r="K7" s="21">
        <v>27525</v>
      </c>
      <c r="L7" s="15" t="s">
        <v>38</v>
      </c>
      <c r="M7" s="28"/>
    </row>
    <row r="8" spans="1:13" ht="15.75" customHeight="1" x14ac:dyDescent="0.25">
      <c r="A8" s="12">
        <v>3</v>
      </c>
      <c r="B8" s="3" t="s">
        <v>23</v>
      </c>
      <c r="C8" s="9" t="s">
        <v>39</v>
      </c>
      <c r="D8" s="9"/>
      <c r="E8" s="9" t="s">
        <v>40</v>
      </c>
      <c r="F8" s="9" t="s">
        <v>34</v>
      </c>
      <c r="G8" s="9" t="s">
        <v>41</v>
      </c>
      <c r="H8" s="9" t="s">
        <v>42</v>
      </c>
      <c r="I8" s="9" t="s">
        <v>43</v>
      </c>
      <c r="J8" s="15" t="s">
        <v>44</v>
      </c>
      <c r="K8" s="21">
        <v>31834</v>
      </c>
      <c r="L8" s="15" t="s">
        <v>45</v>
      </c>
      <c r="M8" s="28"/>
    </row>
    <row r="9" spans="1:13" ht="15.75" customHeight="1" x14ac:dyDescent="0.25">
      <c r="A9" s="12">
        <v>4</v>
      </c>
      <c r="B9" s="3" t="s">
        <v>23</v>
      </c>
      <c r="C9" s="9" t="s">
        <v>46</v>
      </c>
      <c r="D9" s="9"/>
      <c r="E9" s="9" t="s">
        <v>47</v>
      </c>
      <c r="F9" s="9" t="s">
        <v>34</v>
      </c>
      <c r="G9" s="9" t="s">
        <v>41</v>
      </c>
      <c r="H9" s="9" t="s">
        <v>42</v>
      </c>
      <c r="I9" s="9" t="s">
        <v>48</v>
      </c>
      <c r="J9" s="15" t="s">
        <v>49</v>
      </c>
      <c r="K9" s="21">
        <v>26889</v>
      </c>
      <c r="L9" s="15" t="s">
        <v>50</v>
      </c>
      <c r="M9" s="28"/>
    </row>
    <row r="10" spans="1:13" ht="15.75" customHeight="1" x14ac:dyDescent="0.25">
      <c r="A10" s="12">
        <v>5</v>
      </c>
      <c r="B10" s="3" t="s">
        <v>51</v>
      </c>
      <c r="C10" s="9" t="s">
        <v>52</v>
      </c>
      <c r="D10" s="9"/>
      <c r="E10" s="9" t="s">
        <v>25</v>
      </c>
      <c r="F10" s="9" t="s">
        <v>26</v>
      </c>
      <c r="G10" s="9" t="s">
        <v>53</v>
      </c>
      <c r="H10" s="9" t="s">
        <v>54</v>
      </c>
      <c r="I10" s="9" t="s">
        <v>55</v>
      </c>
      <c r="J10" s="16">
        <v>7</v>
      </c>
      <c r="K10" s="16" t="s">
        <v>56</v>
      </c>
      <c r="L10" s="16">
        <v>916961900</v>
      </c>
      <c r="M10" s="28"/>
    </row>
    <row r="11" spans="1:13" s="56" customFormat="1" ht="15.75" customHeight="1" x14ac:dyDescent="0.25">
      <c r="A11" s="12">
        <v>6</v>
      </c>
      <c r="B11" s="65" t="s">
        <v>51</v>
      </c>
      <c r="C11" s="66" t="s">
        <v>57</v>
      </c>
      <c r="D11" s="66"/>
      <c r="E11" s="66" t="s">
        <v>33</v>
      </c>
      <c r="F11" s="66" t="s">
        <v>34</v>
      </c>
      <c r="G11" s="66" t="s">
        <v>41</v>
      </c>
      <c r="H11" s="66" t="s">
        <v>58</v>
      </c>
      <c r="I11" s="66" t="s">
        <v>59</v>
      </c>
      <c r="J11" s="67" t="s">
        <v>60</v>
      </c>
      <c r="K11" s="68">
        <v>28877</v>
      </c>
      <c r="L11" s="67" t="s">
        <v>61</v>
      </c>
      <c r="M11" s="82"/>
    </row>
    <row r="12" spans="1:13" ht="15.75" customHeight="1" x14ac:dyDescent="0.25">
      <c r="A12" s="12">
        <v>7</v>
      </c>
      <c r="B12" s="3" t="s">
        <v>51</v>
      </c>
      <c r="C12" s="9" t="s">
        <v>62</v>
      </c>
      <c r="D12" s="9"/>
      <c r="E12" s="9" t="s">
        <v>40</v>
      </c>
      <c r="F12" s="9" t="s">
        <v>34</v>
      </c>
      <c r="G12" s="9" t="s">
        <v>41</v>
      </c>
      <c r="H12" s="9" t="s">
        <v>63</v>
      </c>
      <c r="I12" s="9" t="s">
        <v>64</v>
      </c>
      <c r="J12" s="15" t="s">
        <v>65</v>
      </c>
      <c r="K12" s="15" t="s">
        <v>66</v>
      </c>
      <c r="L12" s="15" t="s">
        <v>67</v>
      </c>
      <c r="M12" s="28"/>
    </row>
    <row r="13" spans="1:13" ht="15.75" customHeight="1" x14ac:dyDescent="0.25">
      <c r="A13" s="12">
        <v>8</v>
      </c>
      <c r="B13" s="3" t="s">
        <v>51</v>
      </c>
      <c r="C13" s="9" t="s">
        <v>68</v>
      </c>
      <c r="D13" s="9"/>
      <c r="E13" s="9" t="s">
        <v>47</v>
      </c>
      <c r="F13" s="9" t="s">
        <v>34</v>
      </c>
      <c r="G13" s="9" t="s">
        <v>41</v>
      </c>
      <c r="H13" s="9" t="s">
        <v>69</v>
      </c>
      <c r="I13" s="9" t="s">
        <v>70</v>
      </c>
      <c r="J13" s="15" t="s">
        <v>71</v>
      </c>
      <c r="K13" s="21">
        <v>29889</v>
      </c>
      <c r="L13" s="15" t="s">
        <v>72</v>
      </c>
      <c r="M13" s="28"/>
    </row>
    <row r="14" spans="1:13" s="35" customFormat="1" ht="15.75" customHeight="1" x14ac:dyDescent="0.25">
      <c r="A14" s="12">
        <v>9</v>
      </c>
      <c r="B14" s="29" t="s">
        <v>73</v>
      </c>
      <c r="C14" s="42" t="s">
        <v>74</v>
      </c>
      <c r="D14" s="42" t="s">
        <v>75</v>
      </c>
      <c r="E14" s="42" t="s">
        <v>25</v>
      </c>
      <c r="F14" s="38" t="s">
        <v>26</v>
      </c>
      <c r="G14" s="38" t="s">
        <v>53</v>
      </c>
      <c r="H14" s="42" t="s">
        <v>76</v>
      </c>
      <c r="I14" s="42" t="s">
        <v>77</v>
      </c>
      <c r="J14" s="44" t="s">
        <v>78</v>
      </c>
      <c r="K14" s="44" t="s">
        <v>79</v>
      </c>
      <c r="L14" s="44">
        <v>911563684</v>
      </c>
      <c r="M14" s="83"/>
    </row>
    <row r="15" spans="1:13" ht="15.75" customHeight="1" x14ac:dyDescent="0.25">
      <c r="A15" s="12">
        <v>10</v>
      </c>
      <c r="B15" s="3" t="s">
        <v>73</v>
      </c>
      <c r="C15" s="9" t="s">
        <v>80</v>
      </c>
      <c r="D15" s="9"/>
      <c r="E15" s="9" t="s">
        <v>33</v>
      </c>
      <c r="F15" s="9" t="s">
        <v>34</v>
      </c>
      <c r="G15" s="9" t="s">
        <v>53</v>
      </c>
      <c r="H15" s="9" t="s">
        <v>81</v>
      </c>
      <c r="I15" s="9" t="s">
        <v>77</v>
      </c>
      <c r="J15" s="15" t="s">
        <v>78</v>
      </c>
      <c r="K15" s="15" t="s">
        <v>79</v>
      </c>
      <c r="L15" s="15" t="s">
        <v>82</v>
      </c>
      <c r="M15" s="28"/>
    </row>
    <row r="16" spans="1:13" s="35" customFormat="1" ht="15.75" customHeight="1" x14ac:dyDescent="0.25">
      <c r="A16" s="12">
        <v>11</v>
      </c>
      <c r="B16" s="29" t="s">
        <v>73</v>
      </c>
      <c r="C16" s="30" t="s">
        <v>83</v>
      </c>
      <c r="D16" s="30" t="s">
        <v>75</v>
      </c>
      <c r="E16" s="30" t="s">
        <v>40</v>
      </c>
      <c r="F16" s="30"/>
      <c r="G16" s="30"/>
      <c r="H16" s="30"/>
      <c r="I16" s="30"/>
      <c r="J16" s="31"/>
      <c r="K16" s="39"/>
      <c r="L16" s="31"/>
      <c r="M16" s="83"/>
    </row>
    <row r="17" spans="1:13" s="35" customFormat="1" ht="15.75" customHeight="1" x14ac:dyDescent="0.25">
      <c r="A17" s="12">
        <v>12</v>
      </c>
      <c r="B17" s="29" t="s">
        <v>73</v>
      </c>
      <c r="C17" s="87" t="s">
        <v>84</v>
      </c>
      <c r="D17" s="30" t="s">
        <v>85</v>
      </c>
      <c r="E17" s="30" t="s">
        <v>47</v>
      </c>
      <c r="F17" s="36" t="s">
        <v>26</v>
      </c>
      <c r="G17" s="36" t="s">
        <v>53</v>
      </c>
      <c r="H17" s="30" t="s">
        <v>86</v>
      </c>
      <c r="I17" s="30" t="s">
        <v>87</v>
      </c>
      <c r="J17" s="31" t="s">
        <v>88</v>
      </c>
      <c r="K17" s="63">
        <v>34870</v>
      </c>
      <c r="L17" s="59"/>
      <c r="M17" s="83"/>
    </row>
    <row r="18" spans="1:13" s="37" customFormat="1" ht="15.75" customHeight="1" x14ac:dyDescent="0.25">
      <c r="A18" s="12">
        <v>13</v>
      </c>
      <c r="B18" s="36" t="s">
        <v>89</v>
      </c>
      <c r="C18" s="33" t="s">
        <v>90</v>
      </c>
      <c r="D18" s="33" t="s">
        <v>75</v>
      </c>
      <c r="E18" s="41" t="s">
        <v>25</v>
      </c>
      <c r="F18" s="36" t="s">
        <v>26</v>
      </c>
      <c r="G18" s="36" t="s">
        <v>53</v>
      </c>
      <c r="H18" s="33" t="s">
        <v>91</v>
      </c>
      <c r="I18" s="33" t="s">
        <v>92</v>
      </c>
      <c r="J18" s="34" t="s">
        <v>93</v>
      </c>
      <c r="K18" s="34" t="s">
        <v>94</v>
      </c>
      <c r="L18" s="34" t="s">
        <v>95</v>
      </c>
      <c r="M18" s="84"/>
    </row>
    <row r="19" spans="1:13" s="35" customFormat="1" ht="15.75" customHeight="1" x14ac:dyDescent="0.25">
      <c r="A19" s="12">
        <v>14</v>
      </c>
      <c r="B19" s="29" t="s">
        <v>89</v>
      </c>
      <c r="C19" s="87" t="s">
        <v>96</v>
      </c>
      <c r="D19" s="33" t="s">
        <v>85</v>
      </c>
      <c r="E19" s="33" t="s">
        <v>33</v>
      </c>
      <c r="F19" s="33" t="s">
        <v>34</v>
      </c>
      <c r="G19" s="33" t="s">
        <v>53</v>
      </c>
      <c r="H19" s="33" t="s">
        <v>97</v>
      </c>
      <c r="I19" s="33" t="s">
        <v>98</v>
      </c>
      <c r="J19" s="34" t="s">
        <v>99</v>
      </c>
      <c r="K19" s="61" t="s">
        <v>1133</v>
      </c>
      <c r="L19" s="60"/>
      <c r="M19" s="83"/>
    </row>
    <row r="20" spans="1:13" ht="15.75" customHeight="1" x14ac:dyDescent="0.25">
      <c r="A20" s="12">
        <v>15</v>
      </c>
      <c r="B20" s="3" t="s">
        <v>89</v>
      </c>
      <c r="C20" s="9" t="s">
        <v>100</v>
      </c>
      <c r="D20" s="9"/>
      <c r="E20" s="9" t="s">
        <v>40</v>
      </c>
      <c r="F20" s="9" t="s">
        <v>34</v>
      </c>
      <c r="G20" s="9" t="s">
        <v>53</v>
      </c>
      <c r="H20" s="9" t="s">
        <v>91</v>
      </c>
      <c r="I20" s="9" t="s">
        <v>92</v>
      </c>
      <c r="J20" s="15" t="s">
        <v>93</v>
      </c>
      <c r="K20" s="15" t="s">
        <v>94</v>
      </c>
      <c r="L20" s="15" t="s">
        <v>95</v>
      </c>
      <c r="M20" s="28"/>
    </row>
    <row r="21" spans="1:13" s="37" customFormat="1" ht="15.75" customHeight="1" x14ac:dyDescent="0.25">
      <c r="A21" s="12">
        <v>16</v>
      </c>
      <c r="B21" s="36" t="s">
        <v>89</v>
      </c>
      <c r="C21" s="87" t="s">
        <v>101</v>
      </c>
      <c r="D21" s="33" t="s">
        <v>85</v>
      </c>
      <c r="E21" s="33" t="s">
        <v>47</v>
      </c>
      <c r="F21" s="33" t="s">
        <v>34</v>
      </c>
      <c r="G21" s="33" t="s">
        <v>53</v>
      </c>
      <c r="H21" s="33" t="s">
        <v>102</v>
      </c>
      <c r="I21" s="33" t="s">
        <v>103</v>
      </c>
      <c r="J21" s="34" t="s">
        <v>104</v>
      </c>
      <c r="K21" s="61" t="s">
        <v>1132</v>
      </c>
      <c r="L21" s="61" t="s">
        <v>1134</v>
      </c>
      <c r="M21" s="84"/>
    </row>
    <row r="22" spans="1:13" ht="15.75" customHeight="1" x14ac:dyDescent="0.25">
      <c r="A22" s="12">
        <v>17</v>
      </c>
      <c r="B22" s="3" t="s">
        <v>105</v>
      </c>
      <c r="C22" s="4" t="s">
        <v>106</v>
      </c>
      <c r="D22" s="4"/>
      <c r="E22" s="2" t="s">
        <v>25</v>
      </c>
      <c r="F22" s="4" t="s">
        <v>26</v>
      </c>
      <c r="G22" s="4" t="s">
        <v>53</v>
      </c>
      <c r="H22" s="4" t="s">
        <v>54</v>
      </c>
      <c r="I22" s="4" t="s">
        <v>55</v>
      </c>
      <c r="J22" s="17">
        <v>7</v>
      </c>
      <c r="K22" s="14" t="s">
        <v>107</v>
      </c>
      <c r="L22" s="14">
        <v>949190037</v>
      </c>
      <c r="M22" s="28"/>
    </row>
    <row r="23" spans="1:13" ht="15.75" customHeight="1" x14ac:dyDescent="0.25">
      <c r="A23" s="12">
        <v>18</v>
      </c>
      <c r="B23" s="3" t="s">
        <v>105</v>
      </c>
      <c r="C23" s="9" t="s">
        <v>108</v>
      </c>
      <c r="D23" s="9"/>
      <c r="E23" s="9" t="s">
        <v>33</v>
      </c>
      <c r="F23" s="9" t="s">
        <v>34</v>
      </c>
      <c r="G23" s="9" t="s">
        <v>53</v>
      </c>
      <c r="H23" s="9" t="s">
        <v>54</v>
      </c>
      <c r="I23" s="9" t="s">
        <v>109</v>
      </c>
      <c r="J23" s="15">
        <v>53</v>
      </c>
      <c r="K23" s="21">
        <v>26974</v>
      </c>
      <c r="L23" s="15" t="s">
        <v>110</v>
      </c>
      <c r="M23" s="28"/>
    </row>
    <row r="24" spans="1:13" ht="15.75" customHeight="1" x14ac:dyDescent="0.25">
      <c r="A24" s="12">
        <v>19</v>
      </c>
      <c r="B24" s="3" t="s">
        <v>105</v>
      </c>
      <c r="C24" s="9" t="s">
        <v>111</v>
      </c>
      <c r="D24" s="9"/>
      <c r="E24" s="9" t="s">
        <v>40</v>
      </c>
      <c r="F24" s="9" t="s">
        <v>34</v>
      </c>
      <c r="G24" s="9" t="s">
        <v>53</v>
      </c>
      <c r="H24" s="9" t="s">
        <v>112</v>
      </c>
      <c r="I24" s="9" t="s">
        <v>113</v>
      </c>
      <c r="J24" s="15">
        <v>34</v>
      </c>
      <c r="K24" s="21">
        <v>31635</v>
      </c>
      <c r="L24" s="15" t="s">
        <v>114</v>
      </c>
      <c r="M24" s="28"/>
    </row>
    <row r="25" spans="1:13" ht="15.75" customHeight="1" x14ac:dyDescent="0.25">
      <c r="A25" s="12">
        <v>20</v>
      </c>
      <c r="B25" s="3" t="s">
        <v>105</v>
      </c>
      <c r="C25" s="9" t="s">
        <v>115</v>
      </c>
      <c r="D25" s="9"/>
      <c r="E25" s="9" t="s">
        <v>47</v>
      </c>
      <c r="F25" s="9" t="s">
        <v>34</v>
      </c>
      <c r="G25" s="9" t="s">
        <v>53</v>
      </c>
      <c r="H25" s="9" t="s">
        <v>116</v>
      </c>
      <c r="I25" s="9" t="s">
        <v>117</v>
      </c>
      <c r="J25" s="15">
        <v>55</v>
      </c>
      <c r="K25" s="21">
        <v>28999</v>
      </c>
      <c r="L25" s="15" t="s">
        <v>118</v>
      </c>
      <c r="M25" s="28"/>
    </row>
    <row r="26" spans="1:13" ht="15.75" customHeight="1" x14ac:dyDescent="0.25">
      <c r="A26" s="12">
        <v>21</v>
      </c>
      <c r="B26" s="3" t="s">
        <v>119</v>
      </c>
      <c r="C26" s="4" t="s">
        <v>120</v>
      </c>
      <c r="D26" s="4"/>
      <c r="E26" s="2" t="s">
        <v>25</v>
      </c>
      <c r="F26" s="4" t="s">
        <v>26</v>
      </c>
      <c r="G26" s="4" t="s">
        <v>121</v>
      </c>
      <c r="H26" s="4" t="s">
        <v>122</v>
      </c>
      <c r="I26" s="4" t="s">
        <v>123</v>
      </c>
      <c r="J26" s="17">
        <v>31</v>
      </c>
      <c r="K26" s="14" t="s">
        <v>124</v>
      </c>
      <c r="L26" s="14">
        <v>911475444</v>
      </c>
      <c r="M26" s="28"/>
    </row>
    <row r="27" spans="1:13" ht="15.75" customHeight="1" x14ac:dyDescent="0.25">
      <c r="A27" s="12">
        <v>22</v>
      </c>
      <c r="B27" s="3" t="s">
        <v>119</v>
      </c>
      <c r="C27" s="9" t="s">
        <v>125</v>
      </c>
      <c r="D27" s="9"/>
      <c r="E27" s="9" t="s">
        <v>33</v>
      </c>
      <c r="F27" s="9" t="s">
        <v>34</v>
      </c>
      <c r="G27" s="9" t="s">
        <v>121</v>
      </c>
      <c r="H27" s="9" t="s">
        <v>126</v>
      </c>
      <c r="I27" s="9" t="s">
        <v>127</v>
      </c>
      <c r="J27" s="15" t="s">
        <v>128</v>
      </c>
      <c r="K27" s="21">
        <v>28144</v>
      </c>
      <c r="L27" s="15" t="s">
        <v>129</v>
      </c>
      <c r="M27" s="28"/>
    </row>
    <row r="28" spans="1:13" ht="15.75" customHeight="1" x14ac:dyDescent="0.25">
      <c r="A28" s="12">
        <v>23</v>
      </c>
      <c r="B28" s="3" t="s">
        <v>119</v>
      </c>
      <c r="C28" s="9" t="s">
        <v>130</v>
      </c>
      <c r="D28" s="9"/>
      <c r="E28" s="9" t="s">
        <v>40</v>
      </c>
      <c r="F28" s="9" t="s">
        <v>34</v>
      </c>
      <c r="G28" s="9" t="s">
        <v>121</v>
      </c>
      <c r="H28" s="9" t="s">
        <v>131</v>
      </c>
      <c r="I28" s="9" t="s">
        <v>132</v>
      </c>
      <c r="J28" s="15" t="s">
        <v>133</v>
      </c>
      <c r="K28" s="21">
        <v>29871</v>
      </c>
      <c r="L28" s="15" t="s">
        <v>134</v>
      </c>
      <c r="M28" s="28"/>
    </row>
    <row r="29" spans="1:13" ht="15.75" customHeight="1" x14ac:dyDescent="0.25">
      <c r="A29" s="12">
        <v>24</v>
      </c>
      <c r="B29" s="3" t="s">
        <v>119</v>
      </c>
      <c r="C29" s="9" t="s">
        <v>135</v>
      </c>
      <c r="D29" s="9"/>
      <c r="E29" s="9" t="s">
        <v>47</v>
      </c>
      <c r="F29" s="9" t="s">
        <v>34</v>
      </c>
      <c r="G29" s="9" t="s">
        <v>121</v>
      </c>
      <c r="H29" s="9" t="s">
        <v>136</v>
      </c>
      <c r="I29" s="9" t="s">
        <v>137</v>
      </c>
      <c r="J29" s="15" t="s">
        <v>138</v>
      </c>
      <c r="K29" s="21">
        <v>26415</v>
      </c>
      <c r="L29" s="15" t="s">
        <v>139</v>
      </c>
      <c r="M29" s="28"/>
    </row>
    <row r="30" spans="1:13" ht="15.75" customHeight="1" x14ac:dyDescent="0.25">
      <c r="A30" s="12">
        <v>25</v>
      </c>
      <c r="B30" s="3" t="s">
        <v>140</v>
      </c>
      <c r="C30" s="4" t="s">
        <v>141</v>
      </c>
      <c r="D30" s="4"/>
      <c r="E30" s="2" t="s">
        <v>25</v>
      </c>
      <c r="F30" s="4" t="s">
        <v>26</v>
      </c>
      <c r="G30" s="4" t="s">
        <v>121</v>
      </c>
      <c r="H30" s="4" t="s">
        <v>142</v>
      </c>
      <c r="I30" s="4" t="s">
        <v>143</v>
      </c>
      <c r="J30" s="17">
        <v>67</v>
      </c>
      <c r="K30" s="14" t="s">
        <v>144</v>
      </c>
      <c r="L30" s="14">
        <v>993675718</v>
      </c>
      <c r="M30" s="28"/>
    </row>
    <row r="31" spans="1:13" ht="15.75" customHeight="1" x14ac:dyDescent="0.25">
      <c r="A31" s="12">
        <v>26</v>
      </c>
      <c r="B31" s="3" t="s">
        <v>140</v>
      </c>
      <c r="C31" s="9" t="s">
        <v>145</v>
      </c>
      <c r="D31" s="9"/>
      <c r="E31" s="9" t="s">
        <v>33</v>
      </c>
      <c r="F31" s="9" t="s">
        <v>34</v>
      </c>
      <c r="G31" s="9" t="s">
        <v>121</v>
      </c>
      <c r="H31" s="9" t="s">
        <v>142</v>
      </c>
      <c r="I31" s="9" t="s">
        <v>146</v>
      </c>
      <c r="J31" s="15" t="s">
        <v>147</v>
      </c>
      <c r="K31" s="21">
        <v>31169</v>
      </c>
      <c r="L31" s="15" t="s">
        <v>148</v>
      </c>
      <c r="M31" s="28"/>
    </row>
    <row r="32" spans="1:13" ht="15.75" customHeight="1" x14ac:dyDescent="0.25">
      <c r="A32" s="12">
        <v>27</v>
      </c>
      <c r="B32" s="3" t="s">
        <v>140</v>
      </c>
      <c r="C32" s="9" t="s">
        <v>149</v>
      </c>
      <c r="D32" s="9"/>
      <c r="E32" s="9" t="s">
        <v>40</v>
      </c>
      <c r="F32" s="9" t="s">
        <v>34</v>
      </c>
      <c r="G32" s="9" t="s">
        <v>121</v>
      </c>
      <c r="H32" s="9" t="s">
        <v>142</v>
      </c>
      <c r="I32" s="9" t="s">
        <v>150</v>
      </c>
      <c r="J32" s="15" t="s">
        <v>49</v>
      </c>
      <c r="K32" s="21">
        <v>30299</v>
      </c>
      <c r="L32" s="15" t="s">
        <v>151</v>
      </c>
      <c r="M32" s="28"/>
    </row>
    <row r="33" spans="1:13" s="37" customFormat="1" ht="15.75" customHeight="1" x14ac:dyDescent="0.25">
      <c r="A33" s="12">
        <v>28</v>
      </c>
      <c r="B33" s="36" t="s">
        <v>140</v>
      </c>
      <c r="C33" s="87" t="s">
        <v>152</v>
      </c>
      <c r="D33" s="33" t="s">
        <v>85</v>
      </c>
      <c r="E33" s="33" t="s">
        <v>47</v>
      </c>
      <c r="F33" s="30" t="s">
        <v>34</v>
      </c>
      <c r="G33" s="30" t="s">
        <v>121</v>
      </c>
      <c r="H33" s="33" t="s">
        <v>153</v>
      </c>
      <c r="I33" s="33" t="s">
        <v>154</v>
      </c>
      <c r="J33" s="34" t="s">
        <v>155</v>
      </c>
      <c r="K33" s="62"/>
      <c r="L33" s="61"/>
      <c r="M33" s="84"/>
    </row>
    <row r="34" spans="1:13" ht="15.75" customHeight="1" x14ac:dyDescent="0.25">
      <c r="A34" s="12">
        <v>29</v>
      </c>
      <c r="B34" s="3" t="s">
        <v>156</v>
      </c>
      <c r="C34" s="2" t="s">
        <v>157</v>
      </c>
      <c r="D34" s="2"/>
      <c r="E34" s="2" t="s">
        <v>25</v>
      </c>
      <c r="F34" s="4" t="s">
        <v>26</v>
      </c>
      <c r="G34" s="2" t="s">
        <v>121</v>
      </c>
      <c r="H34" s="2" t="s">
        <v>158</v>
      </c>
      <c r="I34" s="2" t="s">
        <v>159</v>
      </c>
      <c r="J34" s="14" t="s">
        <v>160</v>
      </c>
      <c r="K34" s="14" t="s">
        <v>161</v>
      </c>
      <c r="L34" s="14">
        <v>910400372</v>
      </c>
      <c r="M34" s="28"/>
    </row>
    <row r="35" spans="1:13" ht="15.75" customHeight="1" x14ac:dyDescent="0.25">
      <c r="A35" s="12">
        <v>30</v>
      </c>
      <c r="B35" s="3" t="s">
        <v>156</v>
      </c>
      <c r="C35" s="9" t="s">
        <v>162</v>
      </c>
      <c r="D35" s="9"/>
      <c r="E35" s="9" t="s">
        <v>33</v>
      </c>
      <c r="F35" s="3" t="s">
        <v>34</v>
      </c>
      <c r="G35" s="3" t="s">
        <v>121</v>
      </c>
      <c r="H35" s="9" t="s">
        <v>163</v>
      </c>
      <c r="I35" s="9" t="s">
        <v>164</v>
      </c>
      <c r="J35" s="15" t="s">
        <v>165</v>
      </c>
      <c r="K35" s="21">
        <v>32384</v>
      </c>
      <c r="L35" s="15" t="s">
        <v>166</v>
      </c>
      <c r="M35" s="28"/>
    </row>
    <row r="36" spans="1:13" ht="15.75" customHeight="1" x14ac:dyDescent="0.25">
      <c r="A36" s="12">
        <v>31</v>
      </c>
      <c r="B36" s="3" t="s">
        <v>156</v>
      </c>
      <c r="C36" s="9" t="s">
        <v>167</v>
      </c>
      <c r="D36" s="9"/>
      <c r="E36" s="9" t="s">
        <v>40</v>
      </c>
      <c r="F36" s="3" t="s">
        <v>34</v>
      </c>
      <c r="G36" s="3" t="s">
        <v>121</v>
      </c>
      <c r="H36" s="3" t="s">
        <v>153</v>
      </c>
      <c r="I36" s="9" t="s">
        <v>43</v>
      </c>
      <c r="J36" s="15" t="s">
        <v>168</v>
      </c>
      <c r="K36" s="21">
        <v>34862</v>
      </c>
      <c r="L36" s="15" t="s">
        <v>169</v>
      </c>
      <c r="M36" s="28"/>
    </row>
    <row r="37" spans="1:13" s="35" customFormat="1" ht="15.75" customHeight="1" x14ac:dyDescent="0.25">
      <c r="A37" s="12">
        <v>32</v>
      </c>
      <c r="B37" s="29" t="s">
        <v>156</v>
      </c>
      <c r="C37" s="30" t="s">
        <v>83</v>
      </c>
      <c r="D37" s="30" t="s">
        <v>75</v>
      </c>
      <c r="E37" s="30" t="s">
        <v>47</v>
      </c>
      <c r="F37" s="29"/>
      <c r="G37" s="29"/>
      <c r="H37" s="30"/>
      <c r="I37" s="30"/>
      <c r="J37" s="31"/>
      <c r="K37" s="32"/>
      <c r="L37" s="31"/>
      <c r="M37" s="83"/>
    </row>
    <row r="38" spans="1:13" s="55" customFormat="1" ht="15.75" customHeight="1" x14ac:dyDescent="0.25">
      <c r="A38" s="12">
        <v>33</v>
      </c>
      <c r="B38" s="50" t="s">
        <v>170</v>
      </c>
      <c r="C38" s="51" t="s">
        <v>171</v>
      </c>
      <c r="D38" s="51" t="s">
        <v>85</v>
      </c>
      <c r="E38" s="52" t="s">
        <v>25</v>
      </c>
      <c r="F38" s="51" t="s">
        <v>26</v>
      </c>
      <c r="G38" s="51" t="s">
        <v>121</v>
      </c>
      <c r="H38" s="51" t="s">
        <v>142</v>
      </c>
      <c r="I38" s="51" t="s">
        <v>172</v>
      </c>
      <c r="J38" s="53">
        <v>28</v>
      </c>
      <c r="K38" s="54" t="s">
        <v>1129</v>
      </c>
      <c r="L38" s="54">
        <v>972159112</v>
      </c>
      <c r="M38" s="85"/>
    </row>
    <row r="39" spans="1:13" s="35" customFormat="1" ht="15.75" customHeight="1" x14ac:dyDescent="0.25">
      <c r="A39" s="12">
        <v>34</v>
      </c>
      <c r="B39" s="29" t="s">
        <v>170</v>
      </c>
      <c r="C39" s="87" t="s">
        <v>173</v>
      </c>
      <c r="D39" s="30" t="s">
        <v>85</v>
      </c>
      <c r="E39" s="30" t="s">
        <v>33</v>
      </c>
      <c r="F39" s="30" t="s">
        <v>34</v>
      </c>
      <c r="G39" s="30" t="s">
        <v>121</v>
      </c>
      <c r="H39" s="30" t="s">
        <v>153</v>
      </c>
      <c r="I39" s="30" t="s">
        <v>174</v>
      </c>
      <c r="J39" s="31" t="s">
        <v>165</v>
      </c>
      <c r="K39" s="63"/>
      <c r="L39" s="59"/>
      <c r="M39" s="83"/>
    </row>
    <row r="40" spans="1:13" ht="15.75" customHeight="1" x14ac:dyDescent="0.25">
      <c r="A40" s="12">
        <v>35</v>
      </c>
      <c r="B40" s="3" t="s">
        <v>170</v>
      </c>
      <c r="C40" s="9" t="s">
        <v>175</v>
      </c>
      <c r="D40" s="9"/>
      <c r="E40" s="9" t="s">
        <v>40</v>
      </c>
      <c r="F40" s="9" t="s">
        <v>34</v>
      </c>
      <c r="G40" s="9" t="s">
        <v>121</v>
      </c>
      <c r="H40" s="9" t="s">
        <v>176</v>
      </c>
      <c r="I40" s="9" t="s">
        <v>177</v>
      </c>
      <c r="J40" s="15" t="s">
        <v>178</v>
      </c>
      <c r="K40" s="21">
        <v>31979</v>
      </c>
      <c r="L40" s="15" t="s">
        <v>179</v>
      </c>
      <c r="M40" s="28"/>
    </row>
    <row r="41" spans="1:13" s="35" customFormat="1" ht="15.75" customHeight="1" x14ac:dyDescent="0.25">
      <c r="A41" s="12">
        <v>36</v>
      </c>
      <c r="B41" s="29" t="s">
        <v>170</v>
      </c>
      <c r="C41" s="87" t="s">
        <v>180</v>
      </c>
      <c r="D41" s="30" t="s">
        <v>85</v>
      </c>
      <c r="E41" s="30" t="s">
        <v>47</v>
      </c>
      <c r="F41" s="30" t="s">
        <v>34</v>
      </c>
      <c r="G41" s="30" t="s">
        <v>121</v>
      </c>
      <c r="H41" s="30" t="s">
        <v>181</v>
      </c>
      <c r="I41" s="30" t="s">
        <v>182</v>
      </c>
      <c r="J41" s="31" t="s">
        <v>99</v>
      </c>
      <c r="K41" s="63"/>
      <c r="L41" s="59"/>
      <c r="M41" s="83"/>
    </row>
    <row r="42" spans="1:13" ht="15.75" customHeight="1" x14ac:dyDescent="0.25">
      <c r="A42" s="12">
        <v>37</v>
      </c>
      <c r="B42" s="3" t="s">
        <v>183</v>
      </c>
      <c r="C42" s="4" t="s">
        <v>184</v>
      </c>
      <c r="D42" s="4"/>
      <c r="E42" s="2" t="s">
        <v>25</v>
      </c>
      <c r="F42" s="4" t="s">
        <v>185</v>
      </c>
      <c r="G42" s="4" t="s">
        <v>186</v>
      </c>
      <c r="H42" s="4" t="s">
        <v>187</v>
      </c>
      <c r="I42" s="4" t="s">
        <v>188</v>
      </c>
      <c r="J42" s="17">
        <v>94</v>
      </c>
      <c r="K42" s="22">
        <v>32130</v>
      </c>
      <c r="L42" s="17">
        <v>999378791</v>
      </c>
      <c r="M42" s="28"/>
    </row>
    <row r="43" spans="1:13" ht="15.75" customHeight="1" x14ac:dyDescent="0.25">
      <c r="A43" s="12">
        <v>38</v>
      </c>
      <c r="B43" s="3" t="s">
        <v>183</v>
      </c>
      <c r="C43" s="9" t="s">
        <v>189</v>
      </c>
      <c r="D43" s="9"/>
      <c r="E43" s="9" t="s">
        <v>33</v>
      </c>
      <c r="F43" s="3" t="s">
        <v>34</v>
      </c>
      <c r="G43" s="9" t="s">
        <v>190</v>
      </c>
      <c r="H43" s="9" t="s">
        <v>191</v>
      </c>
      <c r="I43" s="9" t="s">
        <v>191</v>
      </c>
      <c r="J43" s="15">
        <v>69</v>
      </c>
      <c r="K43" s="15" t="s">
        <v>192</v>
      </c>
      <c r="L43" s="15" t="s">
        <v>193</v>
      </c>
      <c r="M43" s="28"/>
    </row>
    <row r="44" spans="1:13" s="35" customFormat="1" ht="15.75" customHeight="1" x14ac:dyDescent="0.25">
      <c r="A44" s="12">
        <v>39</v>
      </c>
      <c r="B44" s="29" t="s">
        <v>183</v>
      </c>
      <c r="C44" s="30" t="s">
        <v>83</v>
      </c>
      <c r="D44" s="30" t="s">
        <v>75</v>
      </c>
      <c r="E44" s="30" t="s">
        <v>40</v>
      </c>
      <c r="F44" s="30"/>
      <c r="G44" s="30"/>
      <c r="H44" s="30"/>
      <c r="I44" s="30"/>
      <c r="J44" s="31"/>
      <c r="K44" s="39"/>
      <c r="L44" s="31"/>
      <c r="M44" s="83"/>
    </row>
    <row r="45" spans="1:13" ht="15.75" customHeight="1" x14ac:dyDescent="0.25">
      <c r="A45" s="12">
        <v>40</v>
      </c>
      <c r="B45" s="3" t="s">
        <v>183</v>
      </c>
      <c r="C45" s="9" t="s">
        <v>194</v>
      </c>
      <c r="D45" s="9"/>
      <c r="E45" s="9" t="s">
        <v>47</v>
      </c>
      <c r="F45" s="3" t="s">
        <v>34</v>
      </c>
      <c r="G45" s="9" t="s">
        <v>190</v>
      </c>
      <c r="H45" s="9" t="s">
        <v>195</v>
      </c>
      <c r="I45" s="9" t="s">
        <v>196</v>
      </c>
      <c r="J45" s="15"/>
      <c r="K45" s="21">
        <v>28735</v>
      </c>
      <c r="L45" s="15" t="s">
        <v>197</v>
      </c>
      <c r="M45" s="28"/>
    </row>
    <row r="46" spans="1:13" s="35" customFormat="1" ht="15.75" customHeight="1" x14ac:dyDescent="0.25">
      <c r="A46" s="12">
        <v>41</v>
      </c>
      <c r="B46" s="29" t="s">
        <v>198</v>
      </c>
      <c r="C46" s="30" t="s">
        <v>199</v>
      </c>
      <c r="D46" s="38" t="s">
        <v>75</v>
      </c>
      <c r="E46" s="42" t="s">
        <v>25</v>
      </c>
      <c r="F46" s="29" t="s">
        <v>34</v>
      </c>
      <c r="G46" s="30" t="s">
        <v>190</v>
      </c>
      <c r="H46" s="30" t="s">
        <v>200</v>
      </c>
      <c r="I46" s="30" t="s">
        <v>201</v>
      </c>
      <c r="J46" s="31" t="s">
        <v>202</v>
      </c>
      <c r="K46" s="32">
        <v>28743</v>
      </c>
      <c r="L46" s="31" t="s">
        <v>203</v>
      </c>
      <c r="M46" s="83"/>
    </row>
    <row r="47" spans="1:13" ht="15.75" customHeight="1" x14ac:dyDescent="0.25">
      <c r="A47" s="12">
        <v>42</v>
      </c>
      <c r="B47" s="3" t="s">
        <v>198</v>
      </c>
      <c r="C47" s="9" t="s">
        <v>204</v>
      </c>
      <c r="D47" s="9"/>
      <c r="E47" s="9" t="s">
        <v>33</v>
      </c>
      <c r="F47" s="3" t="s">
        <v>34</v>
      </c>
      <c r="G47" s="9" t="s">
        <v>205</v>
      </c>
      <c r="H47" s="9" t="s">
        <v>206</v>
      </c>
      <c r="I47" s="9" t="s">
        <v>207</v>
      </c>
      <c r="J47" s="15" t="s">
        <v>208</v>
      </c>
      <c r="K47" s="21">
        <v>33013</v>
      </c>
      <c r="L47" s="15" t="s">
        <v>209</v>
      </c>
      <c r="M47" s="28"/>
    </row>
    <row r="48" spans="1:13" ht="15.75" customHeight="1" x14ac:dyDescent="0.25">
      <c r="A48" s="12">
        <v>43</v>
      </c>
      <c r="B48" s="3" t="s">
        <v>198</v>
      </c>
      <c r="C48" s="9" t="s">
        <v>210</v>
      </c>
      <c r="D48" s="9"/>
      <c r="E48" s="9" t="s">
        <v>40</v>
      </c>
      <c r="F48" s="3" t="s">
        <v>34</v>
      </c>
      <c r="G48" s="9" t="s">
        <v>190</v>
      </c>
      <c r="H48" s="9" t="s">
        <v>200</v>
      </c>
      <c r="I48" s="9" t="s">
        <v>201</v>
      </c>
      <c r="J48" s="15" t="s">
        <v>202</v>
      </c>
      <c r="K48" s="21">
        <v>28743</v>
      </c>
      <c r="L48" s="15" t="s">
        <v>203</v>
      </c>
      <c r="M48" s="28"/>
    </row>
    <row r="49" spans="1:13" ht="15.75" customHeight="1" x14ac:dyDescent="0.25">
      <c r="A49" s="12">
        <v>44</v>
      </c>
      <c r="B49" s="3" t="s">
        <v>198</v>
      </c>
      <c r="C49" s="9" t="s">
        <v>211</v>
      </c>
      <c r="D49" s="9"/>
      <c r="E49" s="9" t="s">
        <v>47</v>
      </c>
      <c r="F49" s="3" t="s">
        <v>34</v>
      </c>
      <c r="G49" s="3" t="s">
        <v>190</v>
      </c>
      <c r="H49" s="3" t="s">
        <v>212</v>
      </c>
      <c r="I49" s="9" t="s">
        <v>213</v>
      </c>
      <c r="J49" s="15" t="s">
        <v>214</v>
      </c>
      <c r="K49" s="21">
        <v>28871</v>
      </c>
      <c r="L49" s="15" t="s">
        <v>215</v>
      </c>
      <c r="M49" s="28"/>
    </row>
    <row r="50" spans="1:13" ht="15.75" customHeight="1" x14ac:dyDescent="0.25">
      <c r="A50" s="12">
        <v>45</v>
      </c>
      <c r="B50" s="3" t="s">
        <v>216</v>
      </c>
      <c r="C50" s="4" t="s">
        <v>217</v>
      </c>
      <c r="D50" s="4"/>
      <c r="E50" s="2" t="s">
        <v>25</v>
      </c>
      <c r="F50" s="4" t="s">
        <v>26</v>
      </c>
      <c r="G50" s="4" t="s">
        <v>218</v>
      </c>
      <c r="H50" s="4" t="s">
        <v>219</v>
      </c>
      <c r="I50" s="4" t="s">
        <v>220</v>
      </c>
      <c r="J50" s="17">
        <v>87</v>
      </c>
      <c r="K50" s="14" t="s">
        <v>221</v>
      </c>
      <c r="L50" s="14">
        <v>882053886</v>
      </c>
      <c r="M50" s="28"/>
    </row>
    <row r="51" spans="1:13" ht="15.75" customHeight="1" x14ac:dyDescent="0.25">
      <c r="A51" s="12">
        <v>46</v>
      </c>
      <c r="B51" s="3" t="s">
        <v>216</v>
      </c>
      <c r="C51" s="9" t="s">
        <v>222</v>
      </c>
      <c r="D51" s="9"/>
      <c r="E51" s="9" t="s">
        <v>33</v>
      </c>
      <c r="F51" s="3" t="s">
        <v>34</v>
      </c>
      <c r="G51" s="3" t="s">
        <v>190</v>
      </c>
      <c r="H51" s="9" t="s">
        <v>223</v>
      </c>
      <c r="I51" s="9" t="s">
        <v>224</v>
      </c>
      <c r="J51" s="15" t="s">
        <v>225</v>
      </c>
      <c r="K51" s="21">
        <v>32017</v>
      </c>
      <c r="L51" s="15" t="s">
        <v>226</v>
      </c>
      <c r="M51" s="28"/>
    </row>
    <row r="52" spans="1:13" ht="15.75" customHeight="1" x14ac:dyDescent="0.25">
      <c r="A52" s="12">
        <v>47</v>
      </c>
      <c r="B52" s="3" t="s">
        <v>216</v>
      </c>
      <c r="C52" s="9" t="s">
        <v>227</v>
      </c>
      <c r="D52" s="9"/>
      <c r="E52" s="9" t="s">
        <v>40</v>
      </c>
      <c r="F52" s="3" t="s">
        <v>34</v>
      </c>
      <c r="G52" s="3" t="s">
        <v>190</v>
      </c>
      <c r="H52" s="9" t="s">
        <v>228</v>
      </c>
      <c r="I52" s="9" t="s">
        <v>229</v>
      </c>
      <c r="J52" s="15" t="s">
        <v>230</v>
      </c>
      <c r="K52" s="21">
        <v>31518</v>
      </c>
      <c r="L52" s="15" t="s">
        <v>231</v>
      </c>
      <c r="M52" s="28"/>
    </row>
    <row r="53" spans="1:13" s="37" customFormat="1" ht="15.75" customHeight="1" x14ac:dyDescent="0.25">
      <c r="A53" s="12">
        <v>48</v>
      </c>
      <c r="B53" s="36" t="s">
        <v>216</v>
      </c>
      <c r="C53" s="87" t="s">
        <v>232</v>
      </c>
      <c r="D53" s="33" t="s">
        <v>85</v>
      </c>
      <c r="E53" s="33" t="s">
        <v>47</v>
      </c>
      <c r="F53" s="29" t="s">
        <v>34</v>
      </c>
      <c r="G53" s="29" t="s">
        <v>190</v>
      </c>
      <c r="H53" s="33" t="s">
        <v>233</v>
      </c>
      <c r="I53" s="33" t="s">
        <v>234</v>
      </c>
      <c r="J53" s="34" t="s">
        <v>104</v>
      </c>
      <c r="K53" s="64"/>
      <c r="L53" s="61"/>
      <c r="M53" s="84"/>
    </row>
    <row r="54" spans="1:13" ht="15.75" customHeight="1" x14ac:dyDescent="0.25">
      <c r="A54" s="12">
        <v>49</v>
      </c>
      <c r="B54" s="3" t="s">
        <v>235</v>
      </c>
      <c r="C54" s="4" t="s">
        <v>236</v>
      </c>
      <c r="D54" s="4"/>
      <c r="E54" s="2" t="s">
        <v>25</v>
      </c>
      <c r="F54" s="4" t="s">
        <v>26</v>
      </c>
      <c r="G54" s="4" t="s">
        <v>237</v>
      </c>
      <c r="H54" s="4" t="s">
        <v>238</v>
      </c>
      <c r="I54" s="4" t="s">
        <v>239</v>
      </c>
      <c r="J54" s="17">
        <v>32</v>
      </c>
      <c r="K54" s="14" t="s">
        <v>240</v>
      </c>
      <c r="L54" s="14">
        <v>330143434</v>
      </c>
      <c r="M54" s="28"/>
    </row>
    <row r="55" spans="1:13" s="37" customFormat="1" ht="15.75" customHeight="1" x14ac:dyDescent="0.25">
      <c r="A55" s="12">
        <v>50</v>
      </c>
      <c r="B55" s="36" t="s">
        <v>235</v>
      </c>
      <c r="C55" s="87" t="s">
        <v>241</v>
      </c>
      <c r="D55" s="33" t="s">
        <v>85</v>
      </c>
      <c r="E55" s="33" t="s">
        <v>33</v>
      </c>
      <c r="F55" s="36" t="s">
        <v>34</v>
      </c>
      <c r="G55" s="33" t="s">
        <v>237</v>
      </c>
      <c r="H55" s="33" t="s">
        <v>242</v>
      </c>
      <c r="I55" s="33" t="s">
        <v>243</v>
      </c>
      <c r="J55" s="34" t="s">
        <v>44</v>
      </c>
      <c r="K55" s="64"/>
      <c r="L55" s="61"/>
      <c r="M55" s="84"/>
    </row>
    <row r="56" spans="1:13" ht="15.75" customHeight="1" x14ac:dyDescent="0.25">
      <c r="A56" s="12">
        <v>51</v>
      </c>
      <c r="B56" s="3" t="s">
        <v>235</v>
      </c>
      <c r="C56" s="9" t="s">
        <v>244</v>
      </c>
      <c r="D56" s="9"/>
      <c r="E56" s="9" t="s">
        <v>40</v>
      </c>
      <c r="F56" s="3" t="s">
        <v>34</v>
      </c>
      <c r="G56" s="9" t="s">
        <v>245</v>
      </c>
      <c r="H56" s="9" t="s">
        <v>246</v>
      </c>
      <c r="I56" s="9" t="s">
        <v>247</v>
      </c>
      <c r="J56" s="15">
        <v>8</v>
      </c>
      <c r="K56" s="15" t="s">
        <v>248</v>
      </c>
      <c r="L56" s="15" t="s">
        <v>249</v>
      </c>
      <c r="M56" s="28"/>
    </row>
    <row r="57" spans="1:13" ht="15.75" customHeight="1" x14ac:dyDescent="0.25">
      <c r="A57" s="12">
        <v>52</v>
      </c>
      <c r="B57" s="3" t="s">
        <v>235</v>
      </c>
      <c r="C57" s="9" t="s">
        <v>250</v>
      </c>
      <c r="D57" s="9"/>
      <c r="E57" s="9" t="s">
        <v>47</v>
      </c>
      <c r="F57" s="3" t="s">
        <v>34</v>
      </c>
      <c r="G57" s="9" t="s">
        <v>237</v>
      </c>
      <c r="H57" s="9" t="s">
        <v>251</v>
      </c>
      <c r="I57" s="9" t="s">
        <v>251</v>
      </c>
      <c r="J57" s="15" t="s">
        <v>252</v>
      </c>
      <c r="K57" s="21">
        <v>32805</v>
      </c>
      <c r="L57" s="15" t="s">
        <v>253</v>
      </c>
      <c r="M57" s="28"/>
    </row>
    <row r="58" spans="1:13" ht="15.75" customHeight="1" x14ac:dyDescent="0.25">
      <c r="A58" s="12">
        <v>53</v>
      </c>
      <c r="B58" s="3" t="s">
        <v>254</v>
      </c>
      <c r="C58" s="9" t="s">
        <v>255</v>
      </c>
      <c r="D58" s="9"/>
      <c r="E58" s="2" t="s">
        <v>25</v>
      </c>
      <c r="F58" s="3" t="s">
        <v>34</v>
      </c>
      <c r="G58" s="9" t="s">
        <v>237</v>
      </c>
      <c r="H58" s="9" t="s">
        <v>256</v>
      </c>
      <c r="I58" s="9" t="s">
        <v>257</v>
      </c>
      <c r="J58" s="15" t="s">
        <v>258</v>
      </c>
      <c r="K58" s="21">
        <v>33466</v>
      </c>
      <c r="L58" s="15" t="s">
        <v>259</v>
      </c>
      <c r="M58" s="28"/>
    </row>
    <row r="59" spans="1:13" ht="15.75" customHeight="1" x14ac:dyDescent="0.25">
      <c r="A59" s="12">
        <v>54</v>
      </c>
      <c r="B59" s="3" t="s">
        <v>254</v>
      </c>
      <c r="C59" s="9" t="s">
        <v>260</v>
      </c>
      <c r="D59" s="9"/>
      <c r="E59" s="9" t="s">
        <v>33</v>
      </c>
      <c r="F59" s="3" t="s">
        <v>34</v>
      </c>
      <c r="G59" s="9" t="s">
        <v>237</v>
      </c>
      <c r="H59" s="9" t="s">
        <v>261</v>
      </c>
      <c r="I59" s="9" t="s">
        <v>262</v>
      </c>
      <c r="J59" s="15" t="s">
        <v>263</v>
      </c>
      <c r="K59" s="21">
        <v>31963</v>
      </c>
      <c r="L59" s="15" t="s">
        <v>264</v>
      </c>
      <c r="M59" s="28"/>
    </row>
    <row r="60" spans="1:13" ht="15.75" customHeight="1" x14ac:dyDescent="0.25">
      <c r="A60" s="12">
        <v>55</v>
      </c>
      <c r="B60" s="3" t="s">
        <v>254</v>
      </c>
      <c r="C60" s="9" t="s">
        <v>265</v>
      </c>
      <c r="D60" s="9"/>
      <c r="E60" s="9" t="s">
        <v>40</v>
      </c>
      <c r="F60" s="3" t="s">
        <v>34</v>
      </c>
      <c r="G60" s="9" t="s">
        <v>237</v>
      </c>
      <c r="H60" s="9" t="s">
        <v>177</v>
      </c>
      <c r="I60" s="9" t="s">
        <v>43</v>
      </c>
      <c r="J60" s="15" t="s">
        <v>44</v>
      </c>
      <c r="K60" s="21">
        <v>31069</v>
      </c>
      <c r="L60" s="15" t="s">
        <v>266</v>
      </c>
      <c r="M60" s="28"/>
    </row>
    <row r="61" spans="1:13" s="35" customFormat="1" ht="15.75" customHeight="1" x14ac:dyDescent="0.25">
      <c r="A61" s="12">
        <v>56</v>
      </c>
      <c r="B61" s="29" t="s">
        <v>254</v>
      </c>
      <c r="C61" s="87" t="s">
        <v>267</v>
      </c>
      <c r="D61" s="33" t="s">
        <v>85</v>
      </c>
      <c r="E61" s="33" t="s">
        <v>47</v>
      </c>
      <c r="F61" s="29" t="s">
        <v>34</v>
      </c>
      <c r="G61" s="30" t="s">
        <v>237</v>
      </c>
      <c r="H61" s="30" t="s">
        <v>268</v>
      </c>
      <c r="I61" s="30" t="s">
        <v>269</v>
      </c>
      <c r="J61" s="31" t="s">
        <v>270</v>
      </c>
      <c r="K61" s="63"/>
      <c r="L61" s="59"/>
      <c r="M61" s="83"/>
    </row>
    <row r="62" spans="1:13" ht="15.75" customHeight="1" x14ac:dyDescent="0.25">
      <c r="A62" s="12">
        <v>57</v>
      </c>
      <c r="B62" s="3" t="s">
        <v>271</v>
      </c>
      <c r="C62" s="4" t="s">
        <v>272</v>
      </c>
      <c r="D62" s="4"/>
      <c r="E62" s="2" t="s">
        <v>25</v>
      </c>
      <c r="F62" s="4" t="s">
        <v>26</v>
      </c>
      <c r="G62" s="4" t="s">
        <v>273</v>
      </c>
      <c r="H62" s="4" t="s">
        <v>274</v>
      </c>
      <c r="I62" s="4" t="s">
        <v>275</v>
      </c>
      <c r="J62" s="17">
        <v>7</v>
      </c>
      <c r="K62" s="14" t="s">
        <v>276</v>
      </c>
      <c r="L62" s="14">
        <v>939724466</v>
      </c>
      <c r="M62" s="28"/>
    </row>
    <row r="63" spans="1:13" ht="15.75" customHeight="1" x14ac:dyDescent="0.25">
      <c r="A63" s="12">
        <v>58</v>
      </c>
      <c r="B63" s="3" t="s">
        <v>271</v>
      </c>
      <c r="C63" s="9" t="s">
        <v>277</v>
      </c>
      <c r="D63" s="9"/>
      <c r="E63" s="9" t="s">
        <v>33</v>
      </c>
      <c r="F63" s="9" t="s">
        <v>34</v>
      </c>
      <c r="G63" s="9" t="s">
        <v>278</v>
      </c>
      <c r="H63" s="9" t="s">
        <v>279</v>
      </c>
      <c r="I63" s="9" t="s">
        <v>280</v>
      </c>
      <c r="J63" s="15" t="s">
        <v>281</v>
      </c>
      <c r="K63" s="21">
        <v>29794</v>
      </c>
      <c r="L63" s="15" t="s">
        <v>282</v>
      </c>
      <c r="M63" s="28"/>
    </row>
    <row r="64" spans="1:13" ht="15.75" customHeight="1" x14ac:dyDescent="0.25">
      <c r="A64" s="12">
        <v>59</v>
      </c>
      <c r="B64" s="3" t="s">
        <v>271</v>
      </c>
      <c r="C64" s="9" t="s">
        <v>283</v>
      </c>
      <c r="D64" s="9"/>
      <c r="E64" s="9" t="s">
        <v>40</v>
      </c>
      <c r="F64" s="9" t="s">
        <v>34</v>
      </c>
      <c r="G64" s="9" t="s">
        <v>284</v>
      </c>
      <c r="H64" s="9" t="s">
        <v>285</v>
      </c>
      <c r="I64" s="9" t="s">
        <v>286</v>
      </c>
      <c r="J64" s="15" t="s">
        <v>287</v>
      </c>
      <c r="K64" s="21">
        <v>30825</v>
      </c>
      <c r="L64" s="15" t="s">
        <v>288</v>
      </c>
      <c r="M64" s="28"/>
    </row>
    <row r="65" spans="1:13" ht="15.75" customHeight="1" x14ac:dyDescent="0.25">
      <c r="A65" s="12">
        <v>60</v>
      </c>
      <c r="B65" s="3" t="s">
        <v>271</v>
      </c>
      <c r="C65" s="9" t="s">
        <v>289</v>
      </c>
      <c r="D65" s="9"/>
      <c r="E65" s="9" t="s">
        <v>47</v>
      </c>
      <c r="F65" s="9" t="s">
        <v>34</v>
      </c>
      <c r="G65" s="9" t="s">
        <v>278</v>
      </c>
      <c r="H65" s="9" t="s">
        <v>279</v>
      </c>
      <c r="I65" s="9" t="s">
        <v>290</v>
      </c>
      <c r="J65" s="15" t="s">
        <v>291</v>
      </c>
      <c r="K65" s="21">
        <v>26549</v>
      </c>
      <c r="L65" s="15" t="s">
        <v>292</v>
      </c>
      <c r="M65" s="28"/>
    </row>
    <row r="66" spans="1:13" ht="15.75" customHeight="1" x14ac:dyDescent="0.25">
      <c r="A66" s="12">
        <v>61</v>
      </c>
      <c r="B66" s="3" t="s">
        <v>293</v>
      </c>
      <c r="C66" s="4" t="s">
        <v>294</v>
      </c>
      <c r="D66" s="4"/>
      <c r="E66" s="2" t="s">
        <v>25</v>
      </c>
      <c r="F66" s="4" t="s">
        <v>26</v>
      </c>
      <c r="G66" s="4" t="s">
        <v>278</v>
      </c>
      <c r="H66" s="4" t="s">
        <v>295</v>
      </c>
      <c r="I66" s="4" t="s">
        <v>296</v>
      </c>
      <c r="J66" s="17">
        <v>61</v>
      </c>
      <c r="K66" s="14" t="s">
        <v>297</v>
      </c>
      <c r="L66" s="14">
        <v>911123100</v>
      </c>
      <c r="M66" s="28"/>
    </row>
    <row r="67" spans="1:13" ht="15.75" customHeight="1" x14ac:dyDescent="0.25">
      <c r="A67" s="12">
        <v>62</v>
      </c>
      <c r="B67" s="3" t="s">
        <v>293</v>
      </c>
      <c r="C67" s="9" t="s">
        <v>298</v>
      </c>
      <c r="D67" s="9"/>
      <c r="E67" s="9" t="s">
        <v>33</v>
      </c>
      <c r="F67" s="9" t="s">
        <v>34</v>
      </c>
      <c r="G67" s="9" t="s">
        <v>278</v>
      </c>
      <c r="H67" s="9" t="s">
        <v>299</v>
      </c>
      <c r="I67" s="9" t="s">
        <v>164</v>
      </c>
      <c r="J67" s="15" t="s">
        <v>300</v>
      </c>
      <c r="K67" s="21">
        <v>28894</v>
      </c>
      <c r="L67" s="15" t="s">
        <v>301</v>
      </c>
      <c r="M67" s="28"/>
    </row>
    <row r="68" spans="1:13" ht="15.75" customHeight="1" x14ac:dyDescent="0.25">
      <c r="A68" s="12">
        <v>63</v>
      </c>
      <c r="B68" s="3" t="s">
        <v>293</v>
      </c>
      <c r="C68" s="9" t="s">
        <v>302</v>
      </c>
      <c r="D68" s="9"/>
      <c r="E68" s="9" t="s">
        <v>40</v>
      </c>
      <c r="F68" s="9" t="s">
        <v>34</v>
      </c>
      <c r="G68" s="9" t="s">
        <v>278</v>
      </c>
      <c r="H68" s="9" t="s">
        <v>153</v>
      </c>
      <c r="I68" s="9" t="s">
        <v>303</v>
      </c>
      <c r="J68" s="15"/>
      <c r="K68" s="21">
        <v>31544</v>
      </c>
      <c r="L68" s="15" t="s">
        <v>304</v>
      </c>
      <c r="M68" s="28"/>
    </row>
    <row r="69" spans="1:13" ht="15.75" customHeight="1" x14ac:dyDescent="0.25">
      <c r="A69" s="12">
        <v>64</v>
      </c>
      <c r="B69" s="3" t="s">
        <v>293</v>
      </c>
      <c r="C69" s="9" t="s">
        <v>305</v>
      </c>
      <c r="D69" s="9"/>
      <c r="E69" s="9" t="s">
        <v>47</v>
      </c>
      <c r="F69" s="9" t="s">
        <v>34</v>
      </c>
      <c r="G69" s="9" t="s">
        <v>278</v>
      </c>
      <c r="H69" s="9" t="s">
        <v>306</v>
      </c>
      <c r="I69" s="9" t="s">
        <v>307</v>
      </c>
      <c r="J69" s="15" t="s">
        <v>308</v>
      </c>
      <c r="K69" s="21">
        <v>32215</v>
      </c>
      <c r="L69" s="15" t="s">
        <v>309</v>
      </c>
      <c r="M69" s="28"/>
    </row>
    <row r="70" spans="1:13" ht="15.75" customHeight="1" x14ac:dyDescent="0.25">
      <c r="A70" s="12">
        <v>65</v>
      </c>
      <c r="B70" s="3" t="s">
        <v>310</v>
      </c>
      <c r="C70" s="4" t="s">
        <v>311</v>
      </c>
      <c r="D70" s="4"/>
      <c r="E70" s="2" t="s">
        <v>25</v>
      </c>
      <c r="F70" s="4" t="s">
        <v>26</v>
      </c>
      <c r="G70" s="4" t="s">
        <v>278</v>
      </c>
      <c r="H70" s="4" t="s">
        <v>312</v>
      </c>
      <c r="I70" s="4" t="s">
        <v>313</v>
      </c>
      <c r="J70" s="17">
        <v>133</v>
      </c>
      <c r="K70" s="14" t="s">
        <v>314</v>
      </c>
      <c r="L70" s="14">
        <v>902300567</v>
      </c>
      <c r="M70" s="28"/>
    </row>
    <row r="71" spans="1:13" ht="15.75" customHeight="1" x14ac:dyDescent="0.25">
      <c r="A71" s="12">
        <v>66</v>
      </c>
      <c r="B71" s="3" t="s">
        <v>310</v>
      </c>
      <c r="C71" s="9" t="s">
        <v>315</v>
      </c>
      <c r="D71" s="9"/>
      <c r="E71" s="9" t="s">
        <v>33</v>
      </c>
      <c r="F71" s="9" t="s">
        <v>34</v>
      </c>
      <c r="G71" s="9" t="s">
        <v>278</v>
      </c>
      <c r="H71" s="9" t="s">
        <v>316</v>
      </c>
      <c r="I71" s="9" t="s">
        <v>317</v>
      </c>
      <c r="J71" s="15" t="s">
        <v>318</v>
      </c>
      <c r="K71" s="21">
        <v>31738</v>
      </c>
      <c r="L71" s="15" t="s">
        <v>319</v>
      </c>
      <c r="M71" s="28"/>
    </row>
    <row r="72" spans="1:13" s="37" customFormat="1" ht="15.75" customHeight="1" x14ac:dyDescent="0.25">
      <c r="A72" s="12">
        <v>67</v>
      </c>
      <c r="B72" s="36" t="s">
        <v>310</v>
      </c>
      <c r="C72" s="87" t="s">
        <v>320</v>
      </c>
      <c r="D72" s="33" t="s">
        <v>85</v>
      </c>
      <c r="E72" s="33" t="s">
        <v>40</v>
      </c>
      <c r="F72" s="30" t="s">
        <v>34</v>
      </c>
      <c r="G72" s="30" t="s">
        <v>278</v>
      </c>
      <c r="H72" s="33" t="s">
        <v>321</v>
      </c>
      <c r="I72" s="33" t="s">
        <v>322</v>
      </c>
      <c r="J72" s="34" t="s">
        <v>323</v>
      </c>
      <c r="K72" s="64"/>
      <c r="L72" s="61"/>
      <c r="M72" s="84"/>
    </row>
    <row r="73" spans="1:13" s="35" customFormat="1" ht="15.75" customHeight="1" x14ac:dyDescent="0.25">
      <c r="A73" s="12">
        <v>68</v>
      </c>
      <c r="B73" s="29" t="s">
        <v>310</v>
      </c>
      <c r="C73" s="87" t="s">
        <v>324</v>
      </c>
      <c r="D73" s="30" t="s">
        <v>85</v>
      </c>
      <c r="E73" s="30" t="s">
        <v>47</v>
      </c>
      <c r="F73" s="30" t="s">
        <v>34</v>
      </c>
      <c r="G73" s="30" t="s">
        <v>278</v>
      </c>
      <c r="H73" s="30" t="s">
        <v>325</v>
      </c>
      <c r="I73" s="30" t="s">
        <v>326</v>
      </c>
      <c r="J73" s="31" t="s">
        <v>327</v>
      </c>
      <c r="K73" s="63"/>
      <c r="L73" s="59"/>
      <c r="M73" s="83"/>
    </row>
    <row r="74" spans="1:13" s="35" customFormat="1" ht="15.75" customHeight="1" x14ac:dyDescent="0.25">
      <c r="A74" s="12">
        <v>69</v>
      </c>
      <c r="B74" s="29" t="s">
        <v>328</v>
      </c>
      <c r="C74" s="38" t="s">
        <v>329</v>
      </c>
      <c r="D74" s="38" t="s">
        <v>75</v>
      </c>
      <c r="E74" s="42" t="s">
        <v>25</v>
      </c>
      <c r="F74" s="38" t="s">
        <v>26</v>
      </c>
      <c r="G74" s="38" t="s">
        <v>330</v>
      </c>
      <c r="H74" s="38" t="s">
        <v>331</v>
      </c>
      <c r="I74" s="38" t="s">
        <v>332</v>
      </c>
      <c r="J74" s="43" t="s">
        <v>333</v>
      </c>
      <c r="K74" s="44" t="s">
        <v>334</v>
      </c>
      <c r="L74" s="44">
        <v>916701702</v>
      </c>
      <c r="M74" s="83"/>
    </row>
    <row r="75" spans="1:13" s="35" customFormat="1" ht="15.75" customHeight="1" x14ac:dyDescent="0.25">
      <c r="A75" s="12">
        <v>70</v>
      </c>
      <c r="B75" s="29" t="s">
        <v>328</v>
      </c>
      <c r="C75" s="87" t="s">
        <v>83</v>
      </c>
      <c r="D75" s="30" t="s">
        <v>75</v>
      </c>
      <c r="E75" s="30" t="s">
        <v>33</v>
      </c>
      <c r="F75" s="30"/>
      <c r="G75" s="30"/>
      <c r="H75" s="30"/>
      <c r="I75" s="30"/>
      <c r="J75" s="31"/>
      <c r="K75" s="39"/>
      <c r="L75" s="31"/>
      <c r="M75" s="83"/>
    </row>
    <row r="76" spans="1:13" ht="15.75" customHeight="1" x14ac:dyDescent="0.25">
      <c r="A76" s="12">
        <v>71</v>
      </c>
      <c r="B76" s="3" t="s">
        <v>328</v>
      </c>
      <c r="C76" s="9" t="s">
        <v>335</v>
      </c>
      <c r="D76" s="9"/>
      <c r="E76" s="9" t="s">
        <v>40</v>
      </c>
      <c r="F76" s="9" t="s">
        <v>34</v>
      </c>
      <c r="G76" s="9" t="s">
        <v>284</v>
      </c>
      <c r="H76" s="9" t="s">
        <v>331</v>
      </c>
      <c r="I76" s="9" t="s">
        <v>332</v>
      </c>
      <c r="J76" s="15" t="s">
        <v>333</v>
      </c>
      <c r="K76" s="21">
        <v>34382</v>
      </c>
      <c r="L76" s="15" t="s">
        <v>336</v>
      </c>
      <c r="M76" s="28"/>
    </row>
    <row r="77" spans="1:13" ht="15.75" customHeight="1" x14ac:dyDescent="0.25">
      <c r="A77" s="12">
        <v>72</v>
      </c>
      <c r="B77" s="3" t="s">
        <v>328</v>
      </c>
      <c r="C77" s="9" t="s">
        <v>337</v>
      </c>
      <c r="D77" s="9"/>
      <c r="E77" s="9" t="s">
        <v>47</v>
      </c>
      <c r="F77" s="9" t="s">
        <v>34</v>
      </c>
      <c r="G77" s="9" t="s">
        <v>284</v>
      </c>
      <c r="H77" s="9" t="s">
        <v>338</v>
      </c>
      <c r="I77" s="9" t="s">
        <v>338</v>
      </c>
      <c r="J77" s="15" t="s">
        <v>44</v>
      </c>
      <c r="K77" s="21">
        <v>34778</v>
      </c>
      <c r="L77" s="15" t="s">
        <v>339</v>
      </c>
      <c r="M77" s="28"/>
    </row>
    <row r="78" spans="1:13" ht="15.75" customHeight="1" x14ac:dyDescent="0.25">
      <c r="A78" s="12">
        <v>73</v>
      </c>
      <c r="B78" s="3" t="s">
        <v>340</v>
      </c>
      <c r="C78" s="4" t="s">
        <v>341</v>
      </c>
      <c r="D78" s="4"/>
      <c r="E78" s="2" t="s">
        <v>25</v>
      </c>
      <c r="F78" s="4" t="s">
        <v>26</v>
      </c>
      <c r="G78" s="4" t="s">
        <v>342</v>
      </c>
      <c r="H78" s="4" t="s">
        <v>343</v>
      </c>
      <c r="I78" s="4" t="s">
        <v>344</v>
      </c>
      <c r="J78" s="17">
        <v>11</v>
      </c>
      <c r="K78" s="14" t="s">
        <v>345</v>
      </c>
      <c r="L78" s="14">
        <v>911473800</v>
      </c>
      <c r="M78" s="28"/>
    </row>
    <row r="79" spans="1:13" ht="15.75" customHeight="1" x14ac:dyDescent="0.25">
      <c r="A79" s="12">
        <v>74</v>
      </c>
      <c r="B79" s="3" t="s">
        <v>340</v>
      </c>
      <c r="C79" s="9" t="s">
        <v>346</v>
      </c>
      <c r="D79" s="9"/>
      <c r="E79" s="9" t="s">
        <v>33</v>
      </c>
      <c r="F79" s="9" t="s">
        <v>34</v>
      </c>
      <c r="G79" s="9" t="s">
        <v>347</v>
      </c>
      <c r="H79" s="9" t="s">
        <v>348</v>
      </c>
      <c r="I79" s="9" t="s">
        <v>349</v>
      </c>
      <c r="J79" s="15" t="s">
        <v>350</v>
      </c>
      <c r="K79" s="21">
        <v>23576</v>
      </c>
      <c r="L79" s="15" t="s">
        <v>351</v>
      </c>
      <c r="M79" s="28"/>
    </row>
    <row r="80" spans="1:13" ht="15.75" customHeight="1" x14ac:dyDescent="0.25">
      <c r="A80" s="12">
        <v>75</v>
      </c>
      <c r="B80" s="3" t="s">
        <v>340</v>
      </c>
      <c r="C80" s="9" t="s">
        <v>352</v>
      </c>
      <c r="D80" s="9"/>
      <c r="E80" s="9" t="s">
        <v>40</v>
      </c>
      <c r="F80" s="9" t="s">
        <v>34</v>
      </c>
      <c r="G80" s="9" t="s">
        <v>347</v>
      </c>
      <c r="H80" s="9" t="s">
        <v>353</v>
      </c>
      <c r="I80" s="9" t="s">
        <v>354</v>
      </c>
      <c r="J80" s="15" t="s">
        <v>355</v>
      </c>
      <c r="K80" s="21">
        <v>32417</v>
      </c>
      <c r="L80" s="15" t="s">
        <v>356</v>
      </c>
      <c r="M80" s="28"/>
    </row>
    <row r="81" spans="1:13" s="35" customFormat="1" ht="15.75" customHeight="1" x14ac:dyDescent="0.25">
      <c r="A81" s="12">
        <v>76</v>
      </c>
      <c r="B81" s="29" t="s">
        <v>340</v>
      </c>
      <c r="C81" s="87" t="s">
        <v>357</v>
      </c>
      <c r="D81" s="30" t="s">
        <v>85</v>
      </c>
      <c r="E81" s="30" t="s">
        <v>47</v>
      </c>
      <c r="F81" s="30" t="s">
        <v>34</v>
      </c>
      <c r="G81" s="30" t="s">
        <v>347</v>
      </c>
      <c r="H81" s="30" t="s">
        <v>358</v>
      </c>
      <c r="I81" s="30" t="s">
        <v>359</v>
      </c>
      <c r="J81" s="31" t="s">
        <v>360</v>
      </c>
      <c r="K81" s="63"/>
      <c r="L81" s="59"/>
      <c r="M81" s="83"/>
    </row>
    <row r="82" spans="1:13" ht="15.75" customHeight="1" x14ac:dyDescent="0.25">
      <c r="A82" s="12">
        <v>77</v>
      </c>
      <c r="B82" s="3" t="s">
        <v>361</v>
      </c>
      <c r="C82" s="4" t="s">
        <v>362</v>
      </c>
      <c r="D82" s="4"/>
      <c r="E82" s="2" t="s">
        <v>25</v>
      </c>
      <c r="F82" s="4" t="s">
        <v>26</v>
      </c>
      <c r="G82" s="4" t="s">
        <v>342</v>
      </c>
      <c r="H82" s="4" t="s">
        <v>363</v>
      </c>
      <c r="I82" s="4" t="s">
        <v>364</v>
      </c>
      <c r="J82" s="17">
        <v>12</v>
      </c>
      <c r="K82" s="14" t="s">
        <v>365</v>
      </c>
      <c r="L82" s="14">
        <v>905087904</v>
      </c>
      <c r="M82" s="28"/>
    </row>
    <row r="83" spans="1:13" ht="15.75" customHeight="1" x14ac:dyDescent="0.25">
      <c r="A83" s="12">
        <v>78</v>
      </c>
      <c r="B83" s="3" t="s">
        <v>361</v>
      </c>
      <c r="C83" s="9" t="s">
        <v>366</v>
      </c>
      <c r="D83" s="9"/>
      <c r="E83" s="9" t="s">
        <v>33</v>
      </c>
      <c r="F83" s="9" t="s">
        <v>34</v>
      </c>
      <c r="G83" s="9" t="s">
        <v>205</v>
      </c>
      <c r="H83" s="9" t="s">
        <v>367</v>
      </c>
      <c r="I83" s="9" t="s">
        <v>368</v>
      </c>
      <c r="J83" s="15">
        <v>6</v>
      </c>
      <c r="K83" s="21">
        <v>31617</v>
      </c>
      <c r="L83" s="15" t="s">
        <v>369</v>
      </c>
      <c r="M83" s="28"/>
    </row>
    <row r="84" spans="1:13" ht="15.75" customHeight="1" x14ac:dyDescent="0.25">
      <c r="A84" s="12">
        <v>79</v>
      </c>
      <c r="B84" s="3" t="s">
        <v>361</v>
      </c>
      <c r="C84" s="9" t="s">
        <v>370</v>
      </c>
      <c r="D84" s="9"/>
      <c r="E84" s="9" t="s">
        <v>40</v>
      </c>
      <c r="F84" s="9" t="s">
        <v>34</v>
      </c>
      <c r="G84" s="9" t="s">
        <v>205</v>
      </c>
      <c r="H84" s="9" t="s">
        <v>371</v>
      </c>
      <c r="I84" s="9" t="s">
        <v>91</v>
      </c>
      <c r="J84" s="15" t="s">
        <v>372</v>
      </c>
      <c r="K84" s="21">
        <v>28990</v>
      </c>
      <c r="L84" s="15" t="s">
        <v>373</v>
      </c>
      <c r="M84" s="28"/>
    </row>
    <row r="85" spans="1:13" ht="15.75" customHeight="1" x14ac:dyDescent="0.25">
      <c r="A85" s="12">
        <v>80</v>
      </c>
      <c r="B85" s="3" t="s">
        <v>361</v>
      </c>
      <c r="C85" s="9" t="s">
        <v>374</v>
      </c>
      <c r="D85" s="9"/>
      <c r="E85" s="9" t="s">
        <v>47</v>
      </c>
      <c r="F85" s="3" t="s">
        <v>34</v>
      </c>
      <c r="G85" s="3" t="s">
        <v>190</v>
      </c>
      <c r="H85" s="3" t="s">
        <v>375</v>
      </c>
      <c r="I85" s="3" t="s">
        <v>376</v>
      </c>
      <c r="J85" s="15" t="s">
        <v>377</v>
      </c>
      <c r="K85" s="21">
        <v>27031</v>
      </c>
      <c r="L85" s="15" t="s">
        <v>378</v>
      </c>
      <c r="M85" s="28"/>
    </row>
    <row r="86" spans="1:13" ht="15.75" customHeight="1" x14ac:dyDescent="0.25">
      <c r="A86" s="12">
        <v>81</v>
      </c>
      <c r="B86" s="3" t="s">
        <v>379</v>
      </c>
      <c r="C86" s="4" t="s">
        <v>380</v>
      </c>
      <c r="D86" s="4"/>
      <c r="E86" s="2" t="s">
        <v>25</v>
      </c>
      <c r="F86" s="4" t="s">
        <v>26</v>
      </c>
      <c r="G86" s="4" t="s">
        <v>381</v>
      </c>
      <c r="H86" s="4" t="s">
        <v>382</v>
      </c>
      <c r="I86" s="4" t="s">
        <v>383</v>
      </c>
      <c r="J86" s="17">
        <v>2</v>
      </c>
      <c r="K86" s="14" t="s">
        <v>384</v>
      </c>
      <c r="L86" s="14">
        <v>905899937</v>
      </c>
      <c r="M86" s="28"/>
    </row>
    <row r="87" spans="1:13" ht="15.75" customHeight="1" x14ac:dyDescent="0.25">
      <c r="A87" s="12">
        <v>82</v>
      </c>
      <c r="B87" s="3" t="s">
        <v>379</v>
      </c>
      <c r="C87" s="9" t="s">
        <v>385</v>
      </c>
      <c r="D87" s="9"/>
      <c r="E87" s="9" t="s">
        <v>33</v>
      </c>
      <c r="F87" s="9" t="s">
        <v>34</v>
      </c>
      <c r="G87" s="9" t="s">
        <v>347</v>
      </c>
      <c r="H87" s="9" t="s">
        <v>386</v>
      </c>
      <c r="I87" s="9" t="s">
        <v>386</v>
      </c>
      <c r="J87" s="15" t="s">
        <v>387</v>
      </c>
      <c r="K87" s="21">
        <v>26725</v>
      </c>
      <c r="L87" s="15" t="s">
        <v>388</v>
      </c>
      <c r="M87" s="28"/>
    </row>
    <row r="88" spans="1:13" ht="15.75" customHeight="1" x14ac:dyDescent="0.25">
      <c r="A88" s="12">
        <v>83</v>
      </c>
      <c r="B88" s="3" t="s">
        <v>379</v>
      </c>
      <c r="C88" s="9" t="s">
        <v>389</v>
      </c>
      <c r="D88" s="9"/>
      <c r="E88" s="9" t="s">
        <v>40</v>
      </c>
      <c r="F88" s="9" t="s">
        <v>34</v>
      </c>
      <c r="G88" s="9" t="s">
        <v>347</v>
      </c>
      <c r="H88" s="9" t="s">
        <v>390</v>
      </c>
      <c r="I88" s="9" t="s">
        <v>391</v>
      </c>
      <c r="J88" s="15" t="s">
        <v>392</v>
      </c>
      <c r="K88" s="21">
        <v>31683</v>
      </c>
      <c r="L88" s="15" t="s">
        <v>393</v>
      </c>
      <c r="M88" s="28"/>
    </row>
    <row r="89" spans="1:13" ht="15.75" customHeight="1" x14ac:dyDescent="0.25">
      <c r="A89" s="12">
        <v>84</v>
      </c>
      <c r="B89" s="3" t="s">
        <v>379</v>
      </c>
      <c r="C89" s="9" t="s">
        <v>394</v>
      </c>
      <c r="D89" s="9"/>
      <c r="E89" s="9" t="s">
        <v>47</v>
      </c>
      <c r="F89" s="9" t="s">
        <v>34</v>
      </c>
      <c r="G89" s="9" t="s">
        <v>347</v>
      </c>
      <c r="H89" s="9" t="s">
        <v>395</v>
      </c>
      <c r="I89" s="9" t="s">
        <v>396</v>
      </c>
      <c r="J89" s="15" t="s">
        <v>397</v>
      </c>
      <c r="K89" s="21">
        <v>24575</v>
      </c>
      <c r="L89" s="15" t="s">
        <v>398</v>
      </c>
      <c r="M89" s="28"/>
    </row>
    <row r="90" spans="1:13" s="35" customFormat="1" ht="15.75" customHeight="1" x14ac:dyDescent="0.25">
      <c r="A90" s="12">
        <v>85</v>
      </c>
      <c r="B90" s="29" t="s">
        <v>399</v>
      </c>
      <c r="C90" s="38" t="s">
        <v>400</v>
      </c>
      <c r="D90" s="38" t="s">
        <v>75</v>
      </c>
      <c r="E90" s="42" t="s">
        <v>25</v>
      </c>
      <c r="F90" s="38" t="s">
        <v>26</v>
      </c>
      <c r="G90" s="38" t="s">
        <v>401</v>
      </c>
      <c r="H90" s="38" t="s">
        <v>402</v>
      </c>
      <c r="I90" s="38" t="s">
        <v>403</v>
      </c>
      <c r="J90" s="43">
        <v>11</v>
      </c>
      <c r="K90" s="44" t="s">
        <v>404</v>
      </c>
      <c r="L90" s="44">
        <v>903082927</v>
      </c>
      <c r="M90" s="83"/>
    </row>
    <row r="91" spans="1:13" ht="15.75" customHeight="1" x14ac:dyDescent="0.25">
      <c r="A91" s="12">
        <v>86</v>
      </c>
      <c r="B91" s="3" t="s">
        <v>399</v>
      </c>
      <c r="C91" s="9" t="s">
        <v>405</v>
      </c>
      <c r="D91" s="9"/>
      <c r="E91" s="9" t="s">
        <v>33</v>
      </c>
      <c r="F91" s="9" t="s">
        <v>34</v>
      </c>
      <c r="G91" s="9" t="s">
        <v>347</v>
      </c>
      <c r="H91" s="9" t="s">
        <v>406</v>
      </c>
      <c r="I91" s="9" t="s">
        <v>407</v>
      </c>
      <c r="J91" s="15" t="s">
        <v>408</v>
      </c>
      <c r="K91" s="21">
        <v>31656</v>
      </c>
      <c r="L91" s="15" t="s">
        <v>409</v>
      </c>
      <c r="M91" s="28"/>
    </row>
    <row r="92" spans="1:13" ht="15.75" customHeight="1" x14ac:dyDescent="0.25">
      <c r="A92" s="12">
        <v>87</v>
      </c>
      <c r="B92" s="3" t="s">
        <v>399</v>
      </c>
      <c r="C92" s="9" t="s">
        <v>410</v>
      </c>
      <c r="D92" s="9"/>
      <c r="E92" s="9" t="s">
        <v>40</v>
      </c>
      <c r="F92" s="9" t="s">
        <v>34</v>
      </c>
      <c r="G92" s="9" t="s">
        <v>347</v>
      </c>
      <c r="H92" s="9" t="s">
        <v>411</v>
      </c>
      <c r="I92" s="9" t="s">
        <v>412</v>
      </c>
      <c r="J92" s="15" t="s">
        <v>413</v>
      </c>
      <c r="K92" s="21">
        <v>28309</v>
      </c>
      <c r="L92" s="15" t="s">
        <v>414</v>
      </c>
      <c r="M92" s="28"/>
    </row>
    <row r="93" spans="1:13" ht="15.75" customHeight="1" x14ac:dyDescent="0.25">
      <c r="A93" s="12">
        <v>88</v>
      </c>
      <c r="B93" s="3" t="s">
        <v>399</v>
      </c>
      <c r="C93" s="9" t="s">
        <v>415</v>
      </c>
      <c r="D93" s="9"/>
      <c r="E93" s="9" t="s">
        <v>47</v>
      </c>
      <c r="F93" s="9" t="s">
        <v>34</v>
      </c>
      <c r="G93" s="9" t="s">
        <v>347</v>
      </c>
      <c r="H93" s="9" t="s">
        <v>416</v>
      </c>
      <c r="I93" s="9" t="s">
        <v>417</v>
      </c>
      <c r="J93" s="15" t="s">
        <v>418</v>
      </c>
      <c r="K93" s="21">
        <v>27475</v>
      </c>
      <c r="L93" s="15" t="s">
        <v>419</v>
      </c>
      <c r="M93" s="28"/>
    </row>
    <row r="94" spans="1:13" ht="15.75" customHeight="1" x14ac:dyDescent="0.25">
      <c r="A94" s="12">
        <v>89</v>
      </c>
      <c r="B94" s="3" t="s">
        <v>420</v>
      </c>
      <c r="C94" s="4" t="s">
        <v>421</v>
      </c>
      <c r="D94" s="4"/>
      <c r="E94" s="2" t="s">
        <v>25</v>
      </c>
      <c r="F94" s="4" t="s">
        <v>26</v>
      </c>
      <c r="G94" s="4" t="s">
        <v>422</v>
      </c>
      <c r="H94" s="4" t="s">
        <v>423</v>
      </c>
      <c r="I94" s="4" t="s">
        <v>424</v>
      </c>
      <c r="J94" s="17">
        <v>88</v>
      </c>
      <c r="K94" s="14" t="s">
        <v>425</v>
      </c>
      <c r="L94" s="14">
        <v>979609000</v>
      </c>
      <c r="M94" s="28"/>
    </row>
    <row r="95" spans="1:13" ht="15.75" customHeight="1" x14ac:dyDescent="0.25">
      <c r="A95" s="12">
        <v>90</v>
      </c>
      <c r="B95" s="3" t="s">
        <v>420</v>
      </c>
      <c r="C95" s="9" t="s">
        <v>426</v>
      </c>
      <c r="D95" s="9"/>
      <c r="E95" s="9" t="s">
        <v>33</v>
      </c>
      <c r="F95" s="9" t="s">
        <v>34</v>
      </c>
      <c r="G95" s="9" t="s">
        <v>347</v>
      </c>
      <c r="H95" s="9" t="s">
        <v>427</v>
      </c>
      <c r="I95" s="9" t="s">
        <v>428</v>
      </c>
      <c r="J95" s="15" t="s">
        <v>429</v>
      </c>
      <c r="K95" s="21">
        <v>30237</v>
      </c>
      <c r="L95" s="15" t="s">
        <v>430</v>
      </c>
      <c r="M95" s="28"/>
    </row>
    <row r="96" spans="1:13" ht="15.75" customHeight="1" x14ac:dyDescent="0.25">
      <c r="A96" s="12">
        <v>91</v>
      </c>
      <c r="B96" s="3" t="s">
        <v>420</v>
      </c>
      <c r="C96" s="9" t="s">
        <v>431</v>
      </c>
      <c r="D96" s="9"/>
      <c r="E96" s="9" t="s">
        <v>40</v>
      </c>
      <c r="F96" s="9" t="s">
        <v>34</v>
      </c>
      <c r="G96" s="9" t="s">
        <v>347</v>
      </c>
      <c r="H96" s="9" t="s">
        <v>432</v>
      </c>
      <c r="I96" s="10" t="s">
        <v>433</v>
      </c>
      <c r="J96" s="15" t="s">
        <v>65</v>
      </c>
      <c r="K96" s="21">
        <v>30303</v>
      </c>
      <c r="L96" s="15" t="s">
        <v>434</v>
      </c>
      <c r="M96" s="28"/>
    </row>
    <row r="97" spans="1:13" ht="15.75" customHeight="1" x14ac:dyDescent="0.25">
      <c r="A97" s="12">
        <v>92</v>
      </c>
      <c r="B97" s="3" t="s">
        <v>420</v>
      </c>
      <c r="C97" s="9" t="s">
        <v>435</v>
      </c>
      <c r="D97" s="9"/>
      <c r="E97" s="9" t="s">
        <v>47</v>
      </c>
      <c r="F97" s="9" t="s">
        <v>34</v>
      </c>
      <c r="G97" s="9" t="s">
        <v>35</v>
      </c>
      <c r="H97" s="9" t="s">
        <v>436</v>
      </c>
      <c r="I97" s="9" t="s">
        <v>436</v>
      </c>
      <c r="J97" s="15"/>
      <c r="K97" s="21">
        <v>26291</v>
      </c>
      <c r="L97" s="15" t="s">
        <v>437</v>
      </c>
      <c r="M97" s="28"/>
    </row>
    <row r="98" spans="1:13" ht="15.75" customHeight="1" x14ac:dyDescent="0.25">
      <c r="A98" s="12">
        <v>93</v>
      </c>
      <c r="B98" s="3" t="s">
        <v>438</v>
      </c>
      <c r="C98" s="4" t="s">
        <v>439</v>
      </c>
      <c r="D98" s="4"/>
      <c r="E98" s="2" t="s">
        <v>25</v>
      </c>
      <c r="F98" s="4" t="s">
        <v>26</v>
      </c>
      <c r="G98" s="4" t="s">
        <v>440</v>
      </c>
      <c r="H98" s="4" t="s">
        <v>285</v>
      </c>
      <c r="I98" s="4" t="s">
        <v>441</v>
      </c>
      <c r="J98" s="17">
        <v>14</v>
      </c>
      <c r="K98" s="14" t="s">
        <v>442</v>
      </c>
      <c r="L98" s="14">
        <v>936462222</v>
      </c>
      <c r="M98" s="28"/>
    </row>
    <row r="99" spans="1:13" ht="15.75" customHeight="1" x14ac:dyDescent="0.25">
      <c r="A99" s="12">
        <v>94</v>
      </c>
      <c r="B99" s="29" t="s">
        <v>438</v>
      </c>
      <c r="C99" s="87" t="s">
        <v>443</v>
      </c>
      <c r="D99" s="30" t="s">
        <v>85</v>
      </c>
      <c r="E99" s="30" t="s">
        <v>33</v>
      </c>
      <c r="F99" s="30" t="s">
        <v>34</v>
      </c>
      <c r="G99" s="30" t="s">
        <v>347</v>
      </c>
      <c r="H99" s="30" t="s">
        <v>386</v>
      </c>
      <c r="I99" s="30" t="s">
        <v>386</v>
      </c>
      <c r="J99" s="31" t="s">
        <v>444</v>
      </c>
      <c r="K99" s="63"/>
      <c r="L99" s="59"/>
      <c r="M99" s="28"/>
    </row>
    <row r="100" spans="1:13" s="35" customFormat="1" ht="15.75" customHeight="1" x14ac:dyDescent="0.25">
      <c r="A100" s="12">
        <v>95</v>
      </c>
      <c r="B100" s="29" t="s">
        <v>438</v>
      </c>
      <c r="C100" s="87" t="s">
        <v>445</v>
      </c>
      <c r="D100" s="30" t="s">
        <v>85</v>
      </c>
      <c r="E100" s="30" t="s">
        <v>40</v>
      </c>
      <c r="F100" s="30" t="s">
        <v>34</v>
      </c>
      <c r="G100" s="40" t="s">
        <v>446</v>
      </c>
      <c r="H100" s="30" t="s">
        <v>447</v>
      </c>
      <c r="I100" s="30" t="s">
        <v>448</v>
      </c>
      <c r="J100" s="31" t="s">
        <v>449</v>
      </c>
      <c r="K100" s="63"/>
      <c r="L100" s="59"/>
      <c r="M100" s="83"/>
    </row>
    <row r="101" spans="1:13" ht="15.75" customHeight="1" x14ac:dyDescent="0.25">
      <c r="A101" s="12">
        <v>96</v>
      </c>
      <c r="B101" s="3" t="s">
        <v>438</v>
      </c>
      <c r="C101" s="9" t="s">
        <v>450</v>
      </c>
      <c r="D101" s="9"/>
      <c r="E101" s="9" t="s">
        <v>47</v>
      </c>
      <c r="F101" s="9" t="s">
        <v>34</v>
      </c>
      <c r="G101" s="9" t="s">
        <v>347</v>
      </c>
      <c r="H101" s="9" t="s">
        <v>451</v>
      </c>
      <c r="I101" s="9" t="s">
        <v>452</v>
      </c>
      <c r="J101" s="15" t="s">
        <v>453</v>
      </c>
      <c r="K101" s="21">
        <v>34986</v>
      </c>
      <c r="L101" s="15" t="s">
        <v>454</v>
      </c>
      <c r="M101" s="28"/>
    </row>
    <row r="102" spans="1:13" ht="15.75" customHeight="1" x14ac:dyDescent="0.25">
      <c r="A102" s="12">
        <v>97</v>
      </c>
      <c r="B102" s="3" t="s">
        <v>455</v>
      </c>
      <c r="C102" s="4" t="s">
        <v>456</v>
      </c>
      <c r="D102" s="4"/>
      <c r="E102" s="2" t="s">
        <v>25</v>
      </c>
      <c r="F102" s="4" t="s">
        <v>26</v>
      </c>
      <c r="G102" s="4" t="s">
        <v>457</v>
      </c>
      <c r="H102" s="4" t="s">
        <v>447</v>
      </c>
      <c r="I102" s="4" t="s">
        <v>458</v>
      </c>
      <c r="J102" s="17">
        <v>11</v>
      </c>
      <c r="K102" s="14" t="s">
        <v>459</v>
      </c>
      <c r="L102" s="14">
        <v>905640564</v>
      </c>
      <c r="M102" s="28"/>
    </row>
    <row r="103" spans="1:13" ht="15.75" customHeight="1" x14ac:dyDescent="0.25">
      <c r="A103" s="12">
        <v>98</v>
      </c>
      <c r="B103" s="3" t="s">
        <v>455</v>
      </c>
      <c r="C103" s="9" t="s">
        <v>460</v>
      </c>
      <c r="D103" s="9"/>
      <c r="E103" s="9" t="s">
        <v>33</v>
      </c>
      <c r="F103" s="9" t="s">
        <v>34</v>
      </c>
      <c r="G103" s="9" t="s">
        <v>347</v>
      </c>
      <c r="H103" s="9" t="s">
        <v>461</v>
      </c>
      <c r="I103" s="9" t="s">
        <v>462</v>
      </c>
      <c r="J103" s="15" t="s">
        <v>463</v>
      </c>
      <c r="K103" s="21">
        <v>30272</v>
      </c>
      <c r="L103" s="15" t="s">
        <v>464</v>
      </c>
      <c r="M103" s="28"/>
    </row>
    <row r="104" spans="1:13" s="35" customFormat="1" ht="15.75" customHeight="1" x14ac:dyDescent="0.25">
      <c r="A104" s="12">
        <v>99</v>
      </c>
      <c r="B104" s="29" t="s">
        <v>455</v>
      </c>
      <c r="C104" s="30" t="s">
        <v>83</v>
      </c>
      <c r="D104" s="30" t="s">
        <v>75</v>
      </c>
      <c r="E104" s="30" t="s">
        <v>40</v>
      </c>
      <c r="F104" s="30"/>
      <c r="G104" s="30"/>
      <c r="H104" s="30"/>
      <c r="I104" s="30"/>
      <c r="J104" s="31"/>
      <c r="K104" s="32"/>
      <c r="L104" s="31"/>
      <c r="M104" s="83"/>
    </row>
    <row r="105" spans="1:13" s="35" customFormat="1" ht="15.75" customHeight="1" x14ac:dyDescent="0.25">
      <c r="A105" s="12">
        <v>100</v>
      </c>
      <c r="B105" s="29" t="s">
        <v>455</v>
      </c>
      <c r="C105" s="30" t="s">
        <v>83</v>
      </c>
      <c r="D105" s="30" t="s">
        <v>75</v>
      </c>
      <c r="E105" s="30" t="s">
        <v>47</v>
      </c>
      <c r="F105" s="30"/>
      <c r="G105" s="30"/>
      <c r="H105" s="30"/>
      <c r="I105" s="30"/>
      <c r="J105" s="31"/>
      <c r="K105" s="32"/>
      <c r="L105" s="31"/>
      <c r="M105" s="83"/>
    </row>
    <row r="106" spans="1:13" s="35" customFormat="1" ht="15.75" customHeight="1" x14ac:dyDescent="0.25">
      <c r="A106" s="12">
        <v>101</v>
      </c>
      <c r="B106" s="29" t="s">
        <v>465</v>
      </c>
      <c r="C106" s="38" t="s">
        <v>466</v>
      </c>
      <c r="D106" s="38" t="s">
        <v>75</v>
      </c>
      <c r="E106" s="42" t="s">
        <v>25</v>
      </c>
      <c r="F106" s="38" t="s">
        <v>26</v>
      </c>
      <c r="G106" s="38" t="s">
        <v>457</v>
      </c>
      <c r="H106" s="38" t="s">
        <v>467</v>
      </c>
      <c r="I106" s="38" t="s">
        <v>468</v>
      </c>
      <c r="J106" s="43" t="s">
        <v>469</v>
      </c>
      <c r="K106" s="44" t="s">
        <v>470</v>
      </c>
      <c r="L106" s="44">
        <v>905647414</v>
      </c>
      <c r="M106" s="83"/>
    </row>
    <row r="107" spans="1:13" ht="15.75" customHeight="1" x14ac:dyDescent="0.25">
      <c r="A107" s="12">
        <v>102</v>
      </c>
      <c r="B107" s="3" t="s">
        <v>465</v>
      </c>
      <c r="C107" s="9" t="s">
        <v>471</v>
      </c>
      <c r="D107" s="9"/>
      <c r="E107" s="9" t="s">
        <v>33</v>
      </c>
      <c r="F107" s="9" t="s">
        <v>34</v>
      </c>
      <c r="G107" s="9" t="s">
        <v>347</v>
      </c>
      <c r="H107" s="9" t="s">
        <v>472</v>
      </c>
      <c r="I107" s="9" t="s">
        <v>473</v>
      </c>
      <c r="J107" s="15">
        <v>59</v>
      </c>
      <c r="K107" s="21">
        <v>28843</v>
      </c>
      <c r="L107" s="15" t="s">
        <v>474</v>
      </c>
      <c r="M107" s="28"/>
    </row>
    <row r="108" spans="1:13" ht="15.75" customHeight="1" x14ac:dyDescent="0.25">
      <c r="A108" s="12">
        <v>103</v>
      </c>
      <c r="B108" s="3" t="s">
        <v>465</v>
      </c>
      <c r="C108" s="9" t="s">
        <v>475</v>
      </c>
      <c r="D108" s="9"/>
      <c r="E108" s="9" t="s">
        <v>40</v>
      </c>
      <c r="F108" s="9" t="s">
        <v>34</v>
      </c>
      <c r="G108" s="9" t="s">
        <v>205</v>
      </c>
      <c r="H108" s="9" t="s">
        <v>476</v>
      </c>
      <c r="I108" s="9" t="s">
        <v>251</v>
      </c>
      <c r="J108" s="15">
        <v>44</v>
      </c>
      <c r="K108" s="21">
        <v>29102</v>
      </c>
      <c r="L108" s="15" t="s">
        <v>477</v>
      </c>
      <c r="M108" s="28"/>
    </row>
    <row r="109" spans="1:13" ht="15.75" customHeight="1" x14ac:dyDescent="0.25">
      <c r="A109" s="12">
        <v>104</v>
      </c>
      <c r="B109" s="3" t="s">
        <v>465</v>
      </c>
      <c r="C109" s="9" t="s">
        <v>478</v>
      </c>
      <c r="D109" s="9"/>
      <c r="E109" s="9" t="s">
        <v>47</v>
      </c>
      <c r="F109" s="9" t="s">
        <v>34</v>
      </c>
      <c r="G109" s="9" t="s">
        <v>347</v>
      </c>
      <c r="H109" s="9" t="s">
        <v>479</v>
      </c>
      <c r="I109" s="9" t="s">
        <v>480</v>
      </c>
      <c r="J109" s="15" t="s">
        <v>469</v>
      </c>
      <c r="K109" s="21">
        <v>31042</v>
      </c>
      <c r="L109" s="15" t="s">
        <v>481</v>
      </c>
      <c r="M109" s="28"/>
    </row>
    <row r="110" spans="1:13" ht="15.75" customHeight="1" x14ac:dyDescent="0.25">
      <c r="A110" s="12">
        <v>105</v>
      </c>
      <c r="B110" s="3" t="s">
        <v>482</v>
      </c>
      <c r="C110" s="4" t="s">
        <v>483</v>
      </c>
      <c r="D110" s="4"/>
      <c r="E110" s="2" t="s">
        <v>25</v>
      </c>
      <c r="F110" s="4" t="s">
        <v>26</v>
      </c>
      <c r="G110" s="4" t="s">
        <v>484</v>
      </c>
      <c r="H110" s="4" t="s">
        <v>485</v>
      </c>
      <c r="I110" s="4" t="s">
        <v>486</v>
      </c>
      <c r="J110" s="17">
        <v>34</v>
      </c>
      <c r="K110" s="14" t="s">
        <v>487</v>
      </c>
      <c r="L110" s="14">
        <v>996468410</v>
      </c>
      <c r="M110" s="28"/>
    </row>
    <row r="111" spans="1:13" ht="15.75" customHeight="1" x14ac:dyDescent="0.25">
      <c r="A111" s="12">
        <v>106</v>
      </c>
      <c r="B111" s="3" t="s">
        <v>482</v>
      </c>
      <c r="C111" s="9" t="s">
        <v>488</v>
      </c>
      <c r="D111" s="9"/>
      <c r="E111" s="9" t="s">
        <v>33</v>
      </c>
      <c r="F111" s="9" t="s">
        <v>34</v>
      </c>
      <c r="G111" s="9" t="s">
        <v>245</v>
      </c>
      <c r="H111" s="9" t="s">
        <v>485</v>
      </c>
      <c r="I111" s="9" t="s">
        <v>489</v>
      </c>
      <c r="J111" s="15">
        <v>42</v>
      </c>
      <c r="K111" s="21">
        <v>31159</v>
      </c>
      <c r="L111" s="15" t="s">
        <v>490</v>
      </c>
      <c r="M111" s="28"/>
    </row>
    <row r="112" spans="1:13" ht="15.75" customHeight="1" x14ac:dyDescent="0.25">
      <c r="A112" s="12">
        <v>107</v>
      </c>
      <c r="B112" s="3" t="s">
        <v>482</v>
      </c>
      <c r="C112" s="9" t="s">
        <v>491</v>
      </c>
      <c r="D112" s="9"/>
      <c r="E112" s="9" t="s">
        <v>40</v>
      </c>
      <c r="F112" s="9" t="s">
        <v>34</v>
      </c>
      <c r="G112" s="9" t="s">
        <v>245</v>
      </c>
      <c r="H112" s="9" t="s">
        <v>492</v>
      </c>
      <c r="I112" s="9" t="s">
        <v>493</v>
      </c>
      <c r="J112" s="15">
        <v>18</v>
      </c>
      <c r="K112" s="21">
        <v>31923</v>
      </c>
      <c r="L112" s="15" t="s">
        <v>494</v>
      </c>
      <c r="M112" s="28"/>
    </row>
    <row r="113" spans="1:13" ht="15.75" customHeight="1" x14ac:dyDescent="0.25">
      <c r="A113" s="12">
        <v>108</v>
      </c>
      <c r="B113" s="3" t="s">
        <v>482</v>
      </c>
      <c r="C113" s="9" t="s">
        <v>495</v>
      </c>
      <c r="D113" s="9"/>
      <c r="E113" s="9" t="s">
        <v>47</v>
      </c>
      <c r="F113" s="9" t="s">
        <v>34</v>
      </c>
      <c r="G113" s="9" t="s">
        <v>245</v>
      </c>
      <c r="H113" s="9" t="s">
        <v>496</v>
      </c>
      <c r="I113" s="9" t="s">
        <v>497</v>
      </c>
      <c r="J113" s="15">
        <v>60</v>
      </c>
      <c r="K113" s="21">
        <v>32133</v>
      </c>
      <c r="L113" s="15"/>
      <c r="M113" s="28"/>
    </row>
    <row r="114" spans="1:13" ht="15.75" customHeight="1" x14ac:dyDescent="0.25">
      <c r="A114" s="12">
        <v>109</v>
      </c>
      <c r="B114" s="3" t="s">
        <v>498</v>
      </c>
      <c r="C114" s="4" t="s">
        <v>499</v>
      </c>
      <c r="D114" s="4"/>
      <c r="E114" s="2" t="s">
        <v>25</v>
      </c>
      <c r="F114" s="4" t="s">
        <v>26</v>
      </c>
      <c r="G114" s="4" t="s">
        <v>484</v>
      </c>
      <c r="H114" s="4" t="s">
        <v>500</v>
      </c>
      <c r="I114" s="4" t="s">
        <v>316</v>
      </c>
      <c r="J114" s="17">
        <v>20</v>
      </c>
      <c r="K114" s="14" t="s">
        <v>501</v>
      </c>
      <c r="L114" s="14">
        <v>916664975</v>
      </c>
      <c r="M114" s="28"/>
    </row>
    <row r="115" spans="1:13" ht="15.75" customHeight="1" x14ac:dyDescent="0.25">
      <c r="A115" s="12">
        <v>110</v>
      </c>
      <c r="B115" s="3" t="s">
        <v>498</v>
      </c>
      <c r="C115" s="9" t="s">
        <v>502</v>
      </c>
      <c r="D115" s="9"/>
      <c r="E115" s="9" t="s">
        <v>33</v>
      </c>
      <c r="F115" s="9" t="s">
        <v>34</v>
      </c>
      <c r="G115" s="9" t="s">
        <v>503</v>
      </c>
      <c r="H115" s="9" t="s">
        <v>504</v>
      </c>
      <c r="I115" s="9" t="s">
        <v>505</v>
      </c>
      <c r="J115" s="15" t="s">
        <v>377</v>
      </c>
      <c r="K115" s="21">
        <v>25396</v>
      </c>
      <c r="L115" s="15" t="s">
        <v>506</v>
      </c>
      <c r="M115" s="28"/>
    </row>
    <row r="116" spans="1:13" ht="15.75" customHeight="1" x14ac:dyDescent="0.25">
      <c r="A116" s="12">
        <v>111</v>
      </c>
      <c r="B116" s="3" t="s">
        <v>498</v>
      </c>
      <c r="C116" s="9" t="s">
        <v>507</v>
      </c>
      <c r="D116" s="9"/>
      <c r="E116" s="9" t="s">
        <v>40</v>
      </c>
      <c r="F116" s="9" t="s">
        <v>34</v>
      </c>
      <c r="G116" s="9" t="s">
        <v>245</v>
      </c>
      <c r="H116" s="9" t="s">
        <v>508</v>
      </c>
      <c r="I116" s="9" t="s">
        <v>509</v>
      </c>
      <c r="J116" s="15" t="s">
        <v>510</v>
      </c>
      <c r="K116" s="21">
        <v>31522</v>
      </c>
      <c r="L116" s="15" t="s">
        <v>511</v>
      </c>
      <c r="M116" s="28"/>
    </row>
    <row r="117" spans="1:13" ht="15.75" customHeight="1" x14ac:dyDescent="0.25">
      <c r="A117" s="12">
        <v>112</v>
      </c>
      <c r="B117" s="3" t="s">
        <v>498</v>
      </c>
      <c r="C117" s="9" t="s">
        <v>512</v>
      </c>
      <c r="D117" s="9"/>
      <c r="E117" s="9" t="s">
        <v>47</v>
      </c>
      <c r="F117" s="9" t="s">
        <v>34</v>
      </c>
      <c r="G117" s="9" t="s">
        <v>245</v>
      </c>
      <c r="H117" s="9" t="s">
        <v>513</v>
      </c>
      <c r="I117" s="9" t="s">
        <v>514</v>
      </c>
      <c r="J117" s="15" t="s">
        <v>515</v>
      </c>
      <c r="K117" s="21">
        <v>28020</v>
      </c>
      <c r="L117" s="15" t="s">
        <v>516</v>
      </c>
      <c r="M117" s="28"/>
    </row>
    <row r="118" spans="1:13" s="35" customFormat="1" ht="15.75" customHeight="1" x14ac:dyDescent="0.25">
      <c r="A118" s="12">
        <v>113</v>
      </c>
      <c r="B118" s="29" t="s">
        <v>517</v>
      </c>
      <c r="C118" s="38" t="s">
        <v>518</v>
      </c>
      <c r="D118" s="38" t="s">
        <v>75</v>
      </c>
      <c r="E118" s="42" t="s">
        <v>25</v>
      </c>
      <c r="F118" s="38" t="s">
        <v>26</v>
      </c>
      <c r="G118" s="38" t="s">
        <v>519</v>
      </c>
      <c r="H118" s="38" t="s">
        <v>286</v>
      </c>
      <c r="I118" s="38" t="s">
        <v>520</v>
      </c>
      <c r="J118" s="43">
        <v>77</v>
      </c>
      <c r="K118" s="44" t="s">
        <v>521</v>
      </c>
      <c r="L118" s="44">
        <v>903562667</v>
      </c>
      <c r="M118" s="83"/>
    </row>
    <row r="119" spans="1:13" ht="15.75" customHeight="1" x14ac:dyDescent="0.25">
      <c r="A119" s="12">
        <v>114</v>
      </c>
      <c r="B119" s="3" t="s">
        <v>517</v>
      </c>
      <c r="C119" s="9" t="s">
        <v>522</v>
      </c>
      <c r="D119" s="9"/>
      <c r="E119" s="9" t="s">
        <v>33</v>
      </c>
      <c r="F119" s="9" t="s">
        <v>34</v>
      </c>
      <c r="G119" s="9" t="s">
        <v>245</v>
      </c>
      <c r="H119" s="9" t="s">
        <v>523</v>
      </c>
      <c r="I119" s="9" t="s">
        <v>524</v>
      </c>
      <c r="J119" s="15" t="s">
        <v>525</v>
      </c>
      <c r="K119" s="21">
        <v>26614</v>
      </c>
      <c r="L119" s="15" t="s">
        <v>526</v>
      </c>
      <c r="M119" s="28"/>
    </row>
    <row r="120" spans="1:13" ht="15.75" customHeight="1" x14ac:dyDescent="0.25">
      <c r="A120" s="12">
        <v>115</v>
      </c>
      <c r="B120" s="3" t="s">
        <v>517</v>
      </c>
      <c r="C120" s="9" t="s">
        <v>527</v>
      </c>
      <c r="D120" s="9"/>
      <c r="E120" s="9" t="s">
        <v>40</v>
      </c>
      <c r="F120" s="9" t="s">
        <v>34</v>
      </c>
      <c r="G120" s="9" t="s">
        <v>503</v>
      </c>
      <c r="H120" s="9" t="s">
        <v>504</v>
      </c>
      <c r="I120" s="9" t="s">
        <v>458</v>
      </c>
      <c r="J120" s="15" t="s">
        <v>528</v>
      </c>
      <c r="K120" s="21">
        <v>32010</v>
      </c>
      <c r="L120" s="15" t="s">
        <v>529</v>
      </c>
      <c r="M120" s="28"/>
    </row>
    <row r="121" spans="1:13" ht="15.75" customHeight="1" x14ac:dyDescent="0.25">
      <c r="A121" s="12">
        <v>116</v>
      </c>
      <c r="B121" s="3" t="s">
        <v>517</v>
      </c>
      <c r="C121" s="9" t="s">
        <v>530</v>
      </c>
      <c r="D121" s="9"/>
      <c r="E121" s="9" t="s">
        <v>47</v>
      </c>
      <c r="F121" s="9" t="s">
        <v>34</v>
      </c>
      <c r="G121" s="9" t="s">
        <v>503</v>
      </c>
      <c r="H121" s="9" t="s">
        <v>531</v>
      </c>
      <c r="I121" s="9" t="s">
        <v>532</v>
      </c>
      <c r="J121" s="15" t="s">
        <v>533</v>
      </c>
      <c r="K121" s="21">
        <v>27233</v>
      </c>
      <c r="L121" s="15" t="s">
        <v>534</v>
      </c>
      <c r="M121" s="28"/>
    </row>
    <row r="122" spans="1:13" s="81" customFormat="1" ht="15.75" customHeight="1" x14ac:dyDescent="0.25">
      <c r="A122" s="77">
        <v>117</v>
      </c>
      <c r="B122" s="78" t="s">
        <v>535</v>
      </c>
      <c r="C122" s="78" t="s">
        <v>536</v>
      </c>
      <c r="D122" s="78" t="s">
        <v>85</v>
      </c>
      <c r="E122" s="79" t="s">
        <v>25</v>
      </c>
      <c r="F122" s="80" t="s">
        <v>34</v>
      </c>
      <c r="G122" s="80" t="s">
        <v>537</v>
      </c>
      <c r="H122" s="80" t="s">
        <v>538</v>
      </c>
      <c r="I122" s="80" t="s">
        <v>538</v>
      </c>
      <c r="J122" s="59" t="s">
        <v>539</v>
      </c>
      <c r="K122" s="63">
        <v>31182</v>
      </c>
      <c r="L122" s="59" t="s">
        <v>540</v>
      </c>
      <c r="M122" s="86"/>
    </row>
    <row r="123" spans="1:13" ht="15.75" customHeight="1" x14ac:dyDescent="0.25">
      <c r="A123" s="12">
        <v>118</v>
      </c>
      <c r="B123" s="3" t="s">
        <v>535</v>
      </c>
      <c r="C123" s="9" t="s">
        <v>541</v>
      </c>
      <c r="D123" s="9"/>
      <c r="E123" s="9" t="s">
        <v>33</v>
      </c>
      <c r="F123" s="9" t="s">
        <v>34</v>
      </c>
      <c r="G123" s="9" t="s">
        <v>542</v>
      </c>
      <c r="H123" s="9" t="s">
        <v>543</v>
      </c>
      <c r="I123" s="9" t="s">
        <v>544</v>
      </c>
      <c r="J123" s="15" t="s">
        <v>545</v>
      </c>
      <c r="K123" s="21">
        <v>20295</v>
      </c>
      <c r="L123" s="15" t="s">
        <v>546</v>
      </c>
      <c r="M123" s="28"/>
    </row>
    <row r="124" spans="1:13" ht="15.75" customHeight="1" x14ac:dyDescent="0.25">
      <c r="A124" s="12">
        <v>119</v>
      </c>
      <c r="B124" s="3" t="s">
        <v>535</v>
      </c>
      <c r="C124" s="9" t="s">
        <v>547</v>
      </c>
      <c r="D124" s="9"/>
      <c r="E124" s="9" t="s">
        <v>40</v>
      </c>
      <c r="F124" s="9" t="s">
        <v>34</v>
      </c>
      <c r="G124" s="9" t="s">
        <v>503</v>
      </c>
      <c r="H124" s="9" t="s">
        <v>504</v>
      </c>
      <c r="I124" s="9" t="s">
        <v>548</v>
      </c>
      <c r="J124" s="15" t="s">
        <v>549</v>
      </c>
      <c r="K124" s="21">
        <v>29255</v>
      </c>
      <c r="L124" s="15" t="s">
        <v>550</v>
      </c>
      <c r="M124" s="28"/>
    </row>
    <row r="125" spans="1:13" ht="15.75" customHeight="1" x14ac:dyDescent="0.25">
      <c r="A125" s="12">
        <v>120</v>
      </c>
      <c r="B125" s="3" t="s">
        <v>535</v>
      </c>
      <c r="C125" s="9" t="s">
        <v>551</v>
      </c>
      <c r="D125" s="9"/>
      <c r="E125" s="9" t="s">
        <v>47</v>
      </c>
      <c r="F125" s="9" t="s">
        <v>34</v>
      </c>
      <c r="G125" s="9" t="s">
        <v>273</v>
      </c>
      <c r="H125" s="9" t="s">
        <v>552</v>
      </c>
      <c r="I125" s="9" t="s">
        <v>553</v>
      </c>
      <c r="J125" s="15" t="s">
        <v>138</v>
      </c>
      <c r="K125" s="21">
        <v>32367</v>
      </c>
      <c r="L125" s="15" t="s">
        <v>554</v>
      </c>
      <c r="M125" s="28"/>
    </row>
    <row r="126" spans="1:13" s="35" customFormat="1" ht="15.75" customHeight="1" x14ac:dyDescent="0.25">
      <c r="A126" s="12">
        <v>121</v>
      </c>
      <c r="B126" s="29" t="s">
        <v>555</v>
      </c>
      <c r="C126" s="42" t="s">
        <v>556</v>
      </c>
      <c r="D126" s="42" t="s">
        <v>75</v>
      </c>
      <c r="E126" s="42" t="s">
        <v>25</v>
      </c>
      <c r="F126" s="38" t="s">
        <v>26</v>
      </c>
      <c r="G126" s="42" t="s">
        <v>557</v>
      </c>
      <c r="H126" s="42" t="s">
        <v>558</v>
      </c>
      <c r="I126" s="42" t="s">
        <v>559</v>
      </c>
      <c r="J126" s="44" t="s">
        <v>225</v>
      </c>
      <c r="K126" s="45">
        <v>29358</v>
      </c>
      <c r="L126" s="46">
        <v>916647141</v>
      </c>
      <c r="M126" s="83"/>
    </row>
    <row r="127" spans="1:13" ht="15.75" customHeight="1" x14ac:dyDescent="0.25">
      <c r="A127" s="12">
        <v>122</v>
      </c>
      <c r="B127" s="3" t="s">
        <v>555</v>
      </c>
      <c r="C127" s="9" t="s">
        <v>560</v>
      </c>
      <c r="D127" s="9"/>
      <c r="E127" s="9" t="s">
        <v>33</v>
      </c>
      <c r="F127" s="9" t="s">
        <v>34</v>
      </c>
      <c r="G127" s="9" t="s">
        <v>245</v>
      </c>
      <c r="H127" s="9" t="s">
        <v>561</v>
      </c>
      <c r="I127" s="9" t="s">
        <v>562</v>
      </c>
      <c r="J127" s="15" t="s">
        <v>225</v>
      </c>
      <c r="K127" s="21">
        <v>29358</v>
      </c>
      <c r="L127" s="15" t="s">
        <v>563</v>
      </c>
      <c r="M127" s="28"/>
    </row>
    <row r="128" spans="1:13" s="35" customFormat="1" ht="15.75" customHeight="1" x14ac:dyDescent="0.25">
      <c r="A128" s="12">
        <v>123</v>
      </c>
      <c r="B128" s="29" t="s">
        <v>555</v>
      </c>
      <c r="C128" s="30" t="s">
        <v>83</v>
      </c>
      <c r="D128" s="30" t="s">
        <v>75</v>
      </c>
      <c r="E128" s="30" t="s">
        <v>40</v>
      </c>
      <c r="F128" s="30"/>
      <c r="G128" s="30"/>
      <c r="H128" s="30"/>
      <c r="I128" s="30"/>
      <c r="J128" s="31"/>
      <c r="K128" s="32"/>
      <c r="L128" s="31"/>
      <c r="M128" s="83"/>
    </row>
    <row r="129" spans="1:13" s="35" customFormat="1" ht="15.75" customHeight="1" x14ac:dyDescent="0.25">
      <c r="A129" s="76">
        <v>124</v>
      </c>
      <c r="B129" s="29" t="s">
        <v>555</v>
      </c>
      <c r="C129" s="30" t="s">
        <v>83</v>
      </c>
      <c r="D129" s="30" t="s">
        <v>75</v>
      </c>
      <c r="E129" s="30" t="s">
        <v>47</v>
      </c>
      <c r="F129" s="30" t="s">
        <v>34</v>
      </c>
      <c r="G129" s="30" t="s">
        <v>245</v>
      </c>
      <c r="H129" s="30" t="s">
        <v>251</v>
      </c>
      <c r="I129" s="30" t="s">
        <v>564</v>
      </c>
      <c r="J129" s="31" t="s">
        <v>372</v>
      </c>
      <c r="K129" s="32">
        <v>24207</v>
      </c>
      <c r="L129" s="31" t="s">
        <v>565</v>
      </c>
      <c r="M129" s="83"/>
    </row>
    <row r="130" spans="1:13" ht="15.75" customHeight="1" x14ac:dyDescent="0.25">
      <c r="A130" s="12">
        <v>125</v>
      </c>
      <c r="B130" s="3" t="s">
        <v>566</v>
      </c>
      <c r="C130" s="4" t="s">
        <v>567</v>
      </c>
      <c r="D130" s="4"/>
      <c r="E130" s="2" t="s">
        <v>25</v>
      </c>
      <c r="F130" s="4" t="s">
        <v>26</v>
      </c>
      <c r="G130" s="4" t="s">
        <v>519</v>
      </c>
      <c r="H130" s="4" t="s">
        <v>568</v>
      </c>
      <c r="I130" s="4" t="s">
        <v>569</v>
      </c>
      <c r="J130" s="17">
        <v>5</v>
      </c>
      <c r="K130" s="14" t="s">
        <v>570</v>
      </c>
      <c r="L130" s="14">
        <v>903034411</v>
      </c>
      <c r="M130" s="28"/>
    </row>
    <row r="131" spans="1:13" ht="15.75" customHeight="1" x14ac:dyDescent="0.25">
      <c r="A131" s="12">
        <v>126</v>
      </c>
      <c r="B131" s="3" t="s">
        <v>566</v>
      </c>
      <c r="C131" s="9" t="s">
        <v>571</v>
      </c>
      <c r="D131" s="9"/>
      <c r="E131" s="9" t="s">
        <v>33</v>
      </c>
      <c r="F131" s="9" t="s">
        <v>34</v>
      </c>
      <c r="G131" s="9" t="s">
        <v>503</v>
      </c>
      <c r="H131" s="9" t="s">
        <v>572</v>
      </c>
      <c r="I131" s="9" t="s">
        <v>573</v>
      </c>
      <c r="J131" s="15" t="s">
        <v>574</v>
      </c>
      <c r="K131" s="21">
        <v>29240</v>
      </c>
      <c r="L131" s="15" t="s">
        <v>575</v>
      </c>
      <c r="M131" s="28"/>
    </row>
    <row r="132" spans="1:13" ht="15.75" customHeight="1" x14ac:dyDescent="0.25">
      <c r="A132" s="12">
        <v>127</v>
      </c>
      <c r="B132" s="3" t="s">
        <v>566</v>
      </c>
      <c r="C132" s="9" t="s">
        <v>576</v>
      </c>
      <c r="D132" s="9"/>
      <c r="E132" s="9" t="s">
        <v>40</v>
      </c>
      <c r="F132" s="9" t="s">
        <v>34</v>
      </c>
      <c r="G132" s="9" t="s">
        <v>284</v>
      </c>
      <c r="H132" s="9" t="s">
        <v>577</v>
      </c>
      <c r="I132" s="9" t="s">
        <v>34</v>
      </c>
      <c r="J132" s="15" t="s">
        <v>578</v>
      </c>
      <c r="K132" s="21">
        <v>29603</v>
      </c>
      <c r="L132" s="15" t="s">
        <v>579</v>
      </c>
      <c r="M132" s="28"/>
    </row>
    <row r="133" spans="1:13" ht="15.75" customHeight="1" x14ac:dyDescent="0.25">
      <c r="A133" s="12">
        <v>128</v>
      </c>
      <c r="B133" s="3" t="s">
        <v>566</v>
      </c>
      <c r="C133" s="9" t="s">
        <v>580</v>
      </c>
      <c r="D133" s="9"/>
      <c r="E133" s="9" t="s">
        <v>47</v>
      </c>
      <c r="F133" s="9" t="s">
        <v>34</v>
      </c>
      <c r="G133" s="9" t="s">
        <v>245</v>
      </c>
      <c r="H133" s="9" t="s">
        <v>523</v>
      </c>
      <c r="I133" s="9" t="s">
        <v>524</v>
      </c>
      <c r="J133" s="15" t="s">
        <v>581</v>
      </c>
      <c r="K133" s="21">
        <v>31020</v>
      </c>
      <c r="L133" s="15" t="s">
        <v>582</v>
      </c>
      <c r="M133" s="28"/>
    </row>
    <row r="134" spans="1:13" ht="15.75" customHeight="1" x14ac:dyDescent="0.25">
      <c r="A134" s="12">
        <v>129</v>
      </c>
      <c r="B134" s="3" t="s">
        <v>583</v>
      </c>
      <c r="C134" s="4" t="s">
        <v>584</v>
      </c>
      <c r="D134" s="4"/>
      <c r="E134" s="2" t="s">
        <v>25</v>
      </c>
      <c r="F134" s="4" t="s">
        <v>26</v>
      </c>
      <c r="G134" s="4" t="s">
        <v>585</v>
      </c>
      <c r="H134" s="4" t="s">
        <v>586</v>
      </c>
      <c r="I134" s="4" t="s">
        <v>587</v>
      </c>
      <c r="J134" s="17">
        <v>94</v>
      </c>
      <c r="K134" s="14" t="s">
        <v>588</v>
      </c>
      <c r="L134" s="14">
        <v>772311507</v>
      </c>
      <c r="M134" s="28"/>
    </row>
    <row r="135" spans="1:13" ht="15.75" customHeight="1" x14ac:dyDescent="0.25">
      <c r="A135" s="12">
        <v>130</v>
      </c>
      <c r="B135" s="3" t="s">
        <v>583</v>
      </c>
      <c r="C135" s="9" t="s">
        <v>589</v>
      </c>
      <c r="D135" s="9"/>
      <c r="E135" s="9" t="s">
        <v>33</v>
      </c>
      <c r="F135" s="9" t="s">
        <v>34</v>
      </c>
      <c r="G135" s="9" t="s">
        <v>284</v>
      </c>
      <c r="H135" s="9" t="s">
        <v>590</v>
      </c>
      <c r="I135" s="9" t="s">
        <v>195</v>
      </c>
      <c r="J135" s="15" t="s">
        <v>591</v>
      </c>
      <c r="K135" s="21">
        <v>27904</v>
      </c>
      <c r="L135" s="15" t="s">
        <v>592</v>
      </c>
      <c r="M135" s="28"/>
    </row>
    <row r="136" spans="1:13" ht="15.75" customHeight="1" x14ac:dyDescent="0.25">
      <c r="A136" s="12">
        <v>131</v>
      </c>
      <c r="B136" s="3" t="s">
        <v>583</v>
      </c>
      <c r="C136" s="9" t="s">
        <v>593</v>
      </c>
      <c r="D136" s="9"/>
      <c r="E136" s="9" t="s">
        <v>40</v>
      </c>
      <c r="F136" s="9" t="s">
        <v>34</v>
      </c>
      <c r="G136" s="9" t="s">
        <v>245</v>
      </c>
      <c r="H136" s="9" t="s">
        <v>594</v>
      </c>
      <c r="I136" s="9" t="s">
        <v>595</v>
      </c>
      <c r="J136" s="15">
        <v>92</v>
      </c>
      <c r="K136" s="21">
        <v>32614</v>
      </c>
      <c r="L136" s="15" t="s">
        <v>596</v>
      </c>
      <c r="M136" s="28"/>
    </row>
    <row r="137" spans="1:13" ht="15.75" customHeight="1" x14ac:dyDescent="0.25">
      <c r="A137" s="12">
        <v>132</v>
      </c>
      <c r="B137" s="3" t="s">
        <v>583</v>
      </c>
      <c r="C137" s="9" t="s">
        <v>597</v>
      </c>
      <c r="D137" s="9"/>
      <c r="E137" s="9" t="s">
        <v>47</v>
      </c>
      <c r="F137" s="9" t="s">
        <v>34</v>
      </c>
      <c r="G137" s="9" t="s">
        <v>503</v>
      </c>
      <c r="H137" s="9" t="s">
        <v>598</v>
      </c>
      <c r="I137" s="9" t="s">
        <v>504</v>
      </c>
      <c r="J137" s="15">
        <v>73</v>
      </c>
      <c r="K137" s="21">
        <v>33714</v>
      </c>
      <c r="L137" s="15" t="s">
        <v>599</v>
      </c>
      <c r="M137" s="28"/>
    </row>
    <row r="138" spans="1:13" ht="15.75" customHeight="1" x14ac:dyDescent="0.25">
      <c r="A138" s="12">
        <v>133</v>
      </c>
      <c r="B138" s="3" t="s">
        <v>600</v>
      </c>
      <c r="C138" s="5" t="s">
        <v>601</v>
      </c>
      <c r="D138" s="5"/>
      <c r="E138" s="2" t="s">
        <v>25</v>
      </c>
      <c r="F138" s="4" t="s">
        <v>26</v>
      </c>
      <c r="G138" s="4" t="s">
        <v>484</v>
      </c>
      <c r="H138" s="5" t="s">
        <v>602</v>
      </c>
      <c r="I138" s="5" t="s">
        <v>87</v>
      </c>
      <c r="J138" s="23">
        <v>588</v>
      </c>
      <c r="K138" s="18" t="s">
        <v>603</v>
      </c>
      <c r="L138" s="18">
        <v>904070747</v>
      </c>
      <c r="M138" s="28"/>
    </row>
    <row r="139" spans="1:13" ht="15.75" customHeight="1" x14ac:dyDescent="0.25">
      <c r="A139" s="12">
        <v>134</v>
      </c>
      <c r="B139" s="3" t="s">
        <v>600</v>
      </c>
      <c r="C139" s="9" t="s">
        <v>604</v>
      </c>
      <c r="D139" s="9"/>
      <c r="E139" s="9" t="s">
        <v>33</v>
      </c>
      <c r="F139" s="9" t="s">
        <v>34</v>
      </c>
      <c r="G139" s="9" t="s">
        <v>503</v>
      </c>
      <c r="H139" s="9" t="s">
        <v>605</v>
      </c>
      <c r="I139" s="9" t="s">
        <v>606</v>
      </c>
      <c r="J139" s="15">
        <v>15</v>
      </c>
      <c r="K139" s="21">
        <v>26494</v>
      </c>
      <c r="L139" s="15" t="s">
        <v>607</v>
      </c>
      <c r="M139" s="28"/>
    </row>
    <row r="140" spans="1:13" ht="15.75" customHeight="1" x14ac:dyDescent="0.25">
      <c r="A140" s="12">
        <v>135</v>
      </c>
      <c r="B140" s="3" t="s">
        <v>600</v>
      </c>
      <c r="C140" s="9" t="s">
        <v>608</v>
      </c>
      <c r="D140" s="9"/>
      <c r="E140" s="9" t="s">
        <v>40</v>
      </c>
      <c r="F140" s="9" t="s">
        <v>34</v>
      </c>
      <c r="G140" s="9" t="s">
        <v>503</v>
      </c>
      <c r="H140" s="9" t="s">
        <v>609</v>
      </c>
      <c r="I140" s="9" t="s">
        <v>610</v>
      </c>
      <c r="J140" s="15">
        <v>106</v>
      </c>
      <c r="K140" s="21">
        <v>30730</v>
      </c>
      <c r="L140" s="15" t="s">
        <v>611</v>
      </c>
      <c r="M140" s="28"/>
    </row>
    <row r="141" spans="1:13" ht="15.75" customHeight="1" x14ac:dyDescent="0.25">
      <c r="A141" s="12">
        <v>136</v>
      </c>
      <c r="B141" s="3" t="s">
        <v>600</v>
      </c>
      <c r="C141" s="9" t="s">
        <v>612</v>
      </c>
      <c r="D141" s="9"/>
      <c r="E141" s="9" t="s">
        <v>47</v>
      </c>
      <c r="F141" s="9" t="s">
        <v>34</v>
      </c>
      <c r="G141" s="9" t="s">
        <v>503</v>
      </c>
      <c r="H141" s="9" t="s">
        <v>613</v>
      </c>
      <c r="I141" s="9" t="s">
        <v>614</v>
      </c>
      <c r="J141" s="15">
        <v>3</v>
      </c>
      <c r="K141" s="21">
        <v>26989</v>
      </c>
      <c r="L141" s="15" t="s">
        <v>615</v>
      </c>
      <c r="M141" s="28"/>
    </row>
    <row r="142" spans="1:13" ht="15.75" customHeight="1" x14ac:dyDescent="0.25">
      <c r="A142" s="12">
        <v>137</v>
      </c>
      <c r="B142" s="3" t="s">
        <v>616</v>
      </c>
      <c r="C142" s="4" t="s">
        <v>617</v>
      </c>
      <c r="D142" s="4"/>
      <c r="E142" s="2" t="s">
        <v>25</v>
      </c>
      <c r="F142" s="4" t="s">
        <v>26</v>
      </c>
      <c r="G142" s="4" t="s">
        <v>618</v>
      </c>
      <c r="H142" s="4" t="s">
        <v>619</v>
      </c>
      <c r="I142" s="4" t="s">
        <v>619</v>
      </c>
      <c r="J142" s="17">
        <v>62</v>
      </c>
      <c r="K142" s="14" t="s">
        <v>620</v>
      </c>
      <c r="L142" s="14">
        <v>939800260</v>
      </c>
      <c r="M142" s="28"/>
    </row>
    <row r="143" spans="1:13" ht="15.75" customHeight="1" x14ac:dyDescent="0.25">
      <c r="A143" s="12">
        <v>138</v>
      </c>
      <c r="B143" s="3" t="s">
        <v>616</v>
      </c>
      <c r="C143" s="9" t="s">
        <v>621</v>
      </c>
      <c r="D143" s="9"/>
      <c r="E143" s="9" t="s">
        <v>33</v>
      </c>
      <c r="F143" s="9" t="s">
        <v>34</v>
      </c>
      <c r="G143" s="9" t="s">
        <v>245</v>
      </c>
      <c r="H143" s="9" t="s">
        <v>508</v>
      </c>
      <c r="I143" s="9" t="s">
        <v>622</v>
      </c>
      <c r="J143" s="15">
        <v>339</v>
      </c>
      <c r="K143" s="21">
        <v>30851</v>
      </c>
      <c r="L143" s="15" t="s">
        <v>623</v>
      </c>
      <c r="M143" s="28"/>
    </row>
    <row r="144" spans="1:13" ht="15.75" customHeight="1" x14ac:dyDescent="0.25">
      <c r="A144" s="12">
        <v>139</v>
      </c>
      <c r="B144" s="3" t="s">
        <v>616</v>
      </c>
      <c r="C144" s="9" t="s">
        <v>624</v>
      </c>
      <c r="D144" s="9"/>
      <c r="E144" s="9" t="s">
        <v>40</v>
      </c>
      <c r="F144" s="9" t="s">
        <v>34</v>
      </c>
      <c r="G144" s="9" t="s">
        <v>503</v>
      </c>
      <c r="H144" s="9" t="s">
        <v>625</v>
      </c>
      <c r="I144" s="9" t="s">
        <v>626</v>
      </c>
      <c r="J144" s="15">
        <v>7</v>
      </c>
      <c r="K144" s="21">
        <v>23580</v>
      </c>
      <c r="L144" s="15" t="s">
        <v>627</v>
      </c>
      <c r="M144" s="28"/>
    </row>
    <row r="145" spans="1:13" ht="15.75" customHeight="1" x14ac:dyDescent="0.25">
      <c r="A145" s="12">
        <v>140</v>
      </c>
      <c r="B145" s="3" t="s">
        <v>616</v>
      </c>
      <c r="C145" s="9" t="s">
        <v>628</v>
      </c>
      <c r="D145" s="9"/>
      <c r="E145" s="9" t="s">
        <v>47</v>
      </c>
      <c r="F145" s="9" t="s">
        <v>34</v>
      </c>
      <c r="G145" s="9" t="s">
        <v>503</v>
      </c>
      <c r="H145" s="9" t="s">
        <v>629</v>
      </c>
      <c r="I145" s="9" t="s">
        <v>630</v>
      </c>
      <c r="J145" s="15" t="s">
        <v>631</v>
      </c>
      <c r="K145" s="21">
        <v>21519</v>
      </c>
      <c r="L145" s="15" t="s">
        <v>632</v>
      </c>
      <c r="M145" s="28"/>
    </row>
    <row r="146" spans="1:13" ht="15.75" customHeight="1" x14ac:dyDescent="0.25">
      <c r="A146" s="12">
        <v>141</v>
      </c>
      <c r="B146" s="3" t="s">
        <v>633</v>
      </c>
      <c r="C146" s="4" t="s">
        <v>634</v>
      </c>
      <c r="D146" s="4"/>
      <c r="E146" s="2" t="s">
        <v>25</v>
      </c>
      <c r="F146" s="4" t="s">
        <v>26</v>
      </c>
      <c r="G146" s="4" t="s">
        <v>635</v>
      </c>
      <c r="H146" s="4" t="s">
        <v>569</v>
      </c>
      <c r="I146" s="4" t="s">
        <v>458</v>
      </c>
      <c r="J146" s="17">
        <v>292</v>
      </c>
      <c r="K146" s="14" t="s">
        <v>636</v>
      </c>
      <c r="L146" s="14">
        <v>939355797</v>
      </c>
      <c r="M146" s="28"/>
    </row>
    <row r="147" spans="1:13" ht="15.75" customHeight="1" x14ac:dyDescent="0.25">
      <c r="A147" s="12">
        <v>142</v>
      </c>
      <c r="B147" s="3" t="s">
        <v>633</v>
      </c>
      <c r="C147" s="9" t="s">
        <v>637</v>
      </c>
      <c r="D147" s="9"/>
      <c r="E147" s="9" t="s">
        <v>33</v>
      </c>
      <c r="F147" s="9" t="s">
        <v>34</v>
      </c>
      <c r="G147" s="9" t="s">
        <v>537</v>
      </c>
      <c r="H147" s="9" t="s">
        <v>638</v>
      </c>
      <c r="I147" s="9" t="s">
        <v>569</v>
      </c>
      <c r="J147" s="15" t="s">
        <v>639</v>
      </c>
      <c r="K147" s="21">
        <v>35671</v>
      </c>
      <c r="L147" s="15" t="s">
        <v>640</v>
      </c>
      <c r="M147" s="28"/>
    </row>
    <row r="148" spans="1:13" ht="15.75" customHeight="1" x14ac:dyDescent="0.25">
      <c r="A148" s="12">
        <v>143</v>
      </c>
      <c r="B148" s="3" t="s">
        <v>633</v>
      </c>
      <c r="C148" s="9" t="s">
        <v>641</v>
      </c>
      <c r="D148" s="9"/>
      <c r="E148" s="9" t="s">
        <v>40</v>
      </c>
      <c r="F148" s="9" t="s">
        <v>34</v>
      </c>
      <c r="G148" s="9" t="s">
        <v>537</v>
      </c>
      <c r="H148" s="9" t="s">
        <v>642</v>
      </c>
      <c r="I148" s="9" t="s">
        <v>643</v>
      </c>
      <c r="J148" s="15" t="s">
        <v>644</v>
      </c>
      <c r="K148" s="21">
        <v>31698</v>
      </c>
      <c r="L148" s="15" t="s">
        <v>645</v>
      </c>
      <c r="M148" s="28"/>
    </row>
    <row r="149" spans="1:13" ht="15.75" customHeight="1" x14ac:dyDescent="0.25">
      <c r="A149" s="12">
        <v>144</v>
      </c>
      <c r="B149" s="3" t="s">
        <v>633</v>
      </c>
      <c r="C149" s="9" t="s">
        <v>646</v>
      </c>
      <c r="D149" s="9"/>
      <c r="E149" s="9" t="s">
        <v>47</v>
      </c>
      <c r="F149" s="9" t="s">
        <v>34</v>
      </c>
      <c r="G149" s="9" t="s">
        <v>537</v>
      </c>
      <c r="H149" s="9" t="s">
        <v>164</v>
      </c>
      <c r="I149" s="9" t="s">
        <v>647</v>
      </c>
      <c r="J149" s="15" t="s">
        <v>160</v>
      </c>
      <c r="K149" s="21">
        <v>32980</v>
      </c>
      <c r="L149" s="15" t="s">
        <v>648</v>
      </c>
      <c r="M149" s="28"/>
    </row>
    <row r="150" spans="1:13" ht="15.75" customHeight="1" x14ac:dyDescent="0.25">
      <c r="A150" s="12">
        <v>145</v>
      </c>
      <c r="B150" s="3" t="s">
        <v>649</v>
      </c>
      <c r="C150" s="6" t="s">
        <v>650</v>
      </c>
      <c r="D150" s="6"/>
      <c r="E150" s="2" t="s">
        <v>25</v>
      </c>
      <c r="F150" s="4" t="s">
        <v>26</v>
      </c>
      <c r="G150" s="4" t="s">
        <v>635</v>
      </c>
      <c r="H150" s="6" t="s">
        <v>651</v>
      </c>
      <c r="I150" s="6" t="s">
        <v>652</v>
      </c>
      <c r="J150" s="24">
        <v>37</v>
      </c>
      <c r="K150" s="19" t="s">
        <v>653</v>
      </c>
      <c r="L150" s="19">
        <v>916700559</v>
      </c>
      <c r="M150" s="28"/>
    </row>
    <row r="151" spans="1:13" ht="15.75" customHeight="1" x14ac:dyDescent="0.25">
      <c r="A151" s="12">
        <v>146</v>
      </c>
      <c r="B151" s="3" t="s">
        <v>649</v>
      </c>
      <c r="C151" s="9" t="s">
        <v>654</v>
      </c>
      <c r="D151" s="9"/>
      <c r="E151" s="9" t="s">
        <v>33</v>
      </c>
      <c r="F151" s="9" t="s">
        <v>34</v>
      </c>
      <c r="G151" s="9" t="s">
        <v>537</v>
      </c>
      <c r="H151" s="9" t="s">
        <v>655</v>
      </c>
      <c r="I151" s="9" t="s">
        <v>656</v>
      </c>
      <c r="J151" s="15">
        <v>9</v>
      </c>
      <c r="K151" s="21">
        <v>29283</v>
      </c>
      <c r="L151" s="15" t="s">
        <v>657</v>
      </c>
      <c r="M151" s="28"/>
    </row>
    <row r="152" spans="1:13" ht="15.75" customHeight="1" x14ac:dyDescent="0.25">
      <c r="A152" s="12">
        <v>147</v>
      </c>
      <c r="B152" s="3" t="s">
        <v>649</v>
      </c>
      <c r="C152" s="9" t="s">
        <v>658</v>
      </c>
      <c r="D152" s="9"/>
      <c r="E152" s="9" t="s">
        <v>40</v>
      </c>
      <c r="F152" s="9" t="s">
        <v>34</v>
      </c>
      <c r="G152" s="9" t="s">
        <v>537</v>
      </c>
      <c r="H152" s="9" t="s">
        <v>659</v>
      </c>
      <c r="I152" s="9" t="s">
        <v>660</v>
      </c>
      <c r="J152" s="15">
        <v>49</v>
      </c>
      <c r="K152" s="21">
        <v>29283</v>
      </c>
      <c r="L152" s="15" t="s">
        <v>661</v>
      </c>
      <c r="M152" s="28"/>
    </row>
    <row r="153" spans="1:13" ht="15.75" customHeight="1" x14ac:dyDescent="0.25">
      <c r="A153" s="12">
        <v>148</v>
      </c>
      <c r="B153" s="3" t="s">
        <v>649</v>
      </c>
      <c r="C153" s="9" t="s">
        <v>662</v>
      </c>
      <c r="D153" s="9"/>
      <c r="E153" s="9" t="s">
        <v>47</v>
      </c>
      <c r="F153" s="9" t="s">
        <v>34</v>
      </c>
      <c r="G153" s="9" t="s">
        <v>537</v>
      </c>
      <c r="H153" s="9" t="s">
        <v>663</v>
      </c>
      <c r="I153" s="9" t="s">
        <v>664</v>
      </c>
      <c r="J153" s="15"/>
      <c r="K153" s="21">
        <v>33114</v>
      </c>
      <c r="L153" s="15" t="s">
        <v>665</v>
      </c>
      <c r="M153" s="28"/>
    </row>
    <row r="154" spans="1:13" ht="15.75" customHeight="1" x14ac:dyDescent="0.25">
      <c r="A154" s="12">
        <v>149</v>
      </c>
      <c r="B154" s="3" t="s">
        <v>666</v>
      </c>
      <c r="C154" s="4" t="s">
        <v>667</v>
      </c>
      <c r="D154" s="4"/>
      <c r="E154" s="2" t="s">
        <v>25</v>
      </c>
      <c r="F154" s="4" t="s">
        <v>26</v>
      </c>
      <c r="G154" s="4" t="s">
        <v>635</v>
      </c>
      <c r="H154" s="4" t="s">
        <v>668</v>
      </c>
      <c r="I154" s="4" t="s">
        <v>669</v>
      </c>
      <c r="J154" s="17" t="s">
        <v>670</v>
      </c>
      <c r="K154" s="14" t="s">
        <v>671</v>
      </c>
      <c r="L154" s="14">
        <v>901604583</v>
      </c>
      <c r="M154" s="28"/>
    </row>
    <row r="155" spans="1:13" ht="15.75" customHeight="1" x14ac:dyDescent="0.25">
      <c r="A155" s="12">
        <v>150</v>
      </c>
      <c r="B155" s="3" t="s">
        <v>666</v>
      </c>
      <c r="C155" s="9" t="s">
        <v>672</v>
      </c>
      <c r="D155" s="9"/>
      <c r="E155" s="9" t="s">
        <v>33</v>
      </c>
      <c r="F155" s="9" t="s">
        <v>34</v>
      </c>
      <c r="G155" s="9" t="s">
        <v>537</v>
      </c>
      <c r="H155" s="9" t="s">
        <v>673</v>
      </c>
      <c r="I155" s="9" t="s">
        <v>673</v>
      </c>
      <c r="J155" s="15" t="s">
        <v>674</v>
      </c>
      <c r="K155" s="21">
        <v>31055</v>
      </c>
      <c r="L155" s="15" t="s">
        <v>675</v>
      </c>
      <c r="M155" s="28"/>
    </row>
    <row r="156" spans="1:13" ht="15.75" customHeight="1" x14ac:dyDescent="0.25">
      <c r="A156" s="12">
        <v>151</v>
      </c>
      <c r="B156" s="3" t="s">
        <v>666</v>
      </c>
      <c r="C156" s="9" t="s">
        <v>676</v>
      </c>
      <c r="D156" s="9"/>
      <c r="E156" s="9" t="s">
        <v>40</v>
      </c>
      <c r="F156" s="9" t="s">
        <v>34</v>
      </c>
      <c r="G156" s="9" t="s">
        <v>537</v>
      </c>
      <c r="H156" s="9" t="s">
        <v>406</v>
      </c>
      <c r="I156" s="9" t="s">
        <v>677</v>
      </c>
      <c r="J156" s="15" t="s">
        <v>678</v>
      </c>
      <c r="K156" s="21">
        <v>31980</v>
      </c>
      <c r="L156" s="15" t="s">
        <v>679</v>
      </c>
      <c r="M156" s="28"/>
    </row>
    <row r="157" spans="1:13" ht="15.75" customHeight="1" x14ac:dyDescent="0.25">
      <c r="A157" s="12">
        <v>152</v>
      </c>
      <c r="B157" s="3" t="s">
        <v>666</v>
      </c>
      <c r="C157" s="9" t="s">
        <v>680</v>
      </c>
      <c r="D157" s="9"/>
      <c r="E157" s="9" t="s">
        <v>47</v>
      </c>
      <c r="F157" s="9" t="s">
        <v>34</v>
      </c>
      <c r="G157" s="9" t="s">
        <v>537</v>
      </c>
      <c r="H157" s="9" t="s">
        <v>224</v>
      </c>
      <c r="I157" s="9" t="s">
        <v>681</v>
      </c>
      <c r="J157" s="15" t="s">
        <v>682</v>
      </c>
      <c r="K157" s="15" t="s">
        <v>683</v>
      </c>
      <c r="L157" s="15" t="s">
        <v>684</v>
      </c>
      <c r="M157" s="28"/>
    </row>
    <row r="158" spans="1:13" ht="15.75" customHeight="1" x14ac:dyDescent="0.25">
      <c r="A158" s="12">
        <v>153</v>
      </c>
      <c r="B158" s="3" t="s">
        <v>685</v>
      </c>
      <c r="C158" s="4" t="s">
        <v>686</v>
      </c>
      <c r="D158" s="4"/>
      <c r="E158" s="2" t="s">
        <v>25</v>
      </c>
      <c r="F158" s="4" t="s">
        <v>26</v>
      </c>
      <c r="G158" s="4" t="s">
        <v>687</v>
      </c>
      <c r="H158" s="4" t="s">
        <v>688</v>
      </c>
      <c r="I158" s="4" t="s">
        <v>87</v>
      </c>
      <c r="J158" s="17">
        <v>40</v>
      </c>
      <c r="K158" s="14" t="s">
        <v>689</v>
      </c>
      <c r="L158" s="14">
        <v>916626409</v>
      </c>
      <c r="M158" s="28"/>
    </row>
    <row r="159" spans="1:13" s="35" customFormat="1" ht="15.75" customHeight="1" x14ac:dyDescent="0.25">
      <c r="A159" s="12">
        <v>154</v>
      </c>
      <c r="B159" s="29" t="s">
        <v>685</v>
      </c>
      <c r="C159" s="87" t="s">
        <v>690</v>
      </c>
      <c r="D159" s="30" t="s">
        <v>85</v>
      </c>
      <c r="E159" s="30" t="s">
        <v>33</v>
      </c>
      <c r="F159" s="29" t="s">
        <v>34</v>
      </c>
      <c r="G159" s="30" t="s">
        <v>687</v>
      </c>
      <c r="H159" s="30" t="s">
        <v>691</v>
      </c>
      <c r="I159" s="30" t="s">
        <v>692</v>
      </c>
      <c r="J159" s="31" t="s">
        <v>693</v>
      </c>
      <c r="K159" s="59"/>
      <c r="L159" s="59"/>
      <c r="M159" s="83"/>
    </row>
    <row r="160" spans="1:13" ht="15.75" customHeight="1" x14ac:dyDescent="0.25">
      <c r="A160" s="12">
        <v>155</v>
      </c>
      <c r="B160" s="3" t="s">
        <v>685</v>
      </c>
      <c r="C160" s="9" t="s">
        <v>694</v>
      </c>
      <c r="D160" s="9"/>
      <c r="E160" s="9" t="s">
        <v>40</v>
      </c>
      <c r="F160" s="3" t="s">
        <v>34</v>
      </c>
      <c r="G160" s="9" t="s">
        <v>41</v>
      </c>
      <c r="H160" s="9" t="s">
        <v>695</v>
      </c>
      <c r="I160" s="9" t="s">
        <v>696</v>
      </c>
      <c r="J160" s="15">
        <v>8</v>
      </c>
      <c r="K160" s="21">
        <v>30785</v>
      </c>
      <c r="L160" s="15" t="s">
        <v>697</v>
      </c>
      <c r="M160" s="28"/>
    </row>
    <row r="161" spans="1:13" ht="15.75" customHeight="1" x14ac:dyDescent="0.25">
      <c r="A161" s="12">
        <v>156</v>
      </c>
      <c r="B161" s="3" t="s">
        <v>685</v>
      </c>
      <c r="C161" s="9" t="s">
        <v>698</v>
      </c>
      <c r="D161" s="9"/>
      <c r="E161" s="9" t="s">
        <v>47</v>
      </c>
      <c r="F161" s="3" t="s">
        <v>34</v>
      </c>
      <c r="G161" s="9" t="s">
        <v>41</v>
      </c>
      <c r="H161" s="9" t="s">
        <v>699</v>
      </c>
      <c r="I161" s="9" t="s">
        <v>700</v>
      </c>
      <c r="J161" s="15">
        <v>8</v>
      </c>
      <c r="K161" s="21">
        <v>31989</v>
      </c>
      <c r="L161" s="15" t="s">
        <v>701</v>
      </c>
      <c r="M161" s="28"/>
    </row>
    <row r="162" spans="1:13" ht="15.75" customHeight="1" x14ac:dyDescent="0.25">
      <c r="A162" s="12">
        <v>157</v>
      </c>
      <c r="B162" s="3" t="s">
        <v>702</v>
      </c>
      <c r="C162" s="2" t="s">
        <v>703</v>
      </c>
      <c r="D162" s="2"/>
      <c r="E162" s="2" t="s">
        <v>25</v>
      </c>
      <c r="F162" s="4" t="s">
        <v>26</v>
      </c>
      <c r="G162" s="2" t="s">
        <v>687</v>
      </c>
      <c r="H162" s="2" t="s">
        <v>704</v>
      </c>
      <c r="I162" s="2" t="s">
        <v>705</v>
      </c>
      <c r="J162" s="14" t="s">
        <v>706</v>
      </c>
      <c r="K162" s="14" t="s">
        <v>707</v>
      </c>
      <c r="L162" s="14">
        <v>905334340</v>
      </c>
      <c r="M162" s="28"/>
    </row>
    <row r="163" spans="1:13" ht="15.75" customHeight="1" x14ac:dyDescent="0.25">
      <c r="A163" s="12">
        <v>158</v>
      </c>
      <c r="B163" s="3" t="s">
        <v>702</v>
      </c>
      <c r="C163" s="9" t="s">
        <v>708</v>
      </c>
      <c r="D163" s="9"/>
      <c r="E163" s="9" t="s">
        <v>33</v>
      </c>
      <c r="F163" s="3" t="s">
        <v>34</v>
      </c>
      <c r="G163" s="3" t="s">
        <v>687</v>
      </c>
      <c r="H163" s="9" t="s">
        <v>709</v>
      </c>
      <c r="I163" s="9" t="s">
        <v>710</v>
      </c>
      <c r="J163" s="15">
        <v>9</v>
      </c>
      <c r="K163" s="15" t="s">
        <v>711</v>
      </c>
      <c r="L163" s="15" t="s">
        <v>712</v>
      </c>
      <c r="M163" s="28"/>
    </row>
    <row r="164" spans="1:13" ht="15.75" customHeight="1" x14ac:dyDescent="0.25">
      <c r="A164" s="12">
        <v>159</v>
      </c>
      <c r="B164" s="3" t="s">
        <v>702</v>
      </c>
      <c r="C164" s="9" t="s">
        <v>713</v>
      </c>
      <c r="D164" s="9"/>
      <c r="E164" s="9" t="s">
        <v>40</v>
      </c>
      <c r="F164" s="3" t="s">
        <v>34</v>
      </c>
      <c r="G164" s="3" t="s">
        <v>284</v>
      </c>
      <c r="H164" s="9" t="s">
        <v>714</v>
      </c>
      <c r="I164" s="9" t="s">
        <v>715</v>
      </c>
      <c r="J164" s="15" t="s">
        <v>716</v>
      </c>
      <c r="K164" s="21">
        <v>24241</v>
      </c>
      <c r="L164" s="15" t="s">
        <v>717</v>
      </c>
      <c r="M164" s="28"/>
    </row>
    <row r="165" spans="1:13" s="35" customFormat="1" ht="15.75" customHeight="1" x14ac:dyDescent="0.25">
      <c r="A165" s="12">
        <v>160</v>
      </c>
      <c r="B165" s="29" t="s">
        <v>702</v>
      </c>
      <c r="C165" s="87" t="s">
        <v>718</v>
      </c>
      <c r="D165" s="30" t="s">
        <v>85</v>
      </c>
      <c r="E165" s="30" t="s">
        <v>47</v>
      </c>
      <c r="F165" s="29" t="s">
        <v>34</v>
      </c>
      <c r="G165" s="29" t="s">
        <v>687</v>
      </c>
      <c r="H165" s="29" t="s">
        <v>164</v>
      </c>
      <c r="I165" s="29" t="s">
        <v>164</v>
      </c>
      <c r="J165" s="31" t="s">
        <v>719</v>
      </c>
      <c r="K165" s="59"/>
      <c r="L165" s="59"/>
      <c r="M165" s="83"/>
    </row>
    <row r="166" spans="1:13" ht="15.75" customHeight="1" x14ac:dyDescent="0.25">
      <c r="A166" s="12">
        <v>161</v>
      </c>
      <c r="B166" s="3" t="s">
        <v>720</v>
      </c>
      <c r="C166" s="4" t="s">
        <v>721</v>
      </c>
      <c r="D166" s="4"/>
      <c r="E166" s="2" t="s">
        <v>25</v>
      </c>
      <c r="F166" s="4" t="s">
        <v>26</v>
      </c>
      <c r="G166" s="4" t="s">
        <v>687</v>
      </c>
      <c r="H166" s="4" t="s">
        <v>722</v>
      </c>
      <c r="I166" s="4" t="s">
        <v>723</v>
      </c>
      <c r="J166" s="17">
        <v>19</v>
      </c>
      <c r="K166" s="14" t="s">
        <v>724</v>
      </c>
      <c r="L166" s="14">
        <v>911142828</v>
      </c>
      <c r="M166" s="28"/>
    </row>
    <row r="167" spans="1:13" ht="15.75" customHeight="1" x14ac:dyDescent="0.25">
      <c r="A167" s="12">
        <v>162</v>
      </c>
      <c r="B167" s="3" t="s">
        <v>720</v>
      </c>
      <c r="C167" s="9" t="s">
        <v>725</v>
      </c>
      <c r="D167" s="9"/>
      <c r="E167" s="9" t="s">
        <v>33</v>
      </c>
      <c r="F167" s="3" t="s">
        <v>34</v>
      </c>
      <c r="G167" s="9" t="s">
        <v>687</v>
      </c>
      <c r="H167" s="9" t="s">
        <v>726</v>
      </c>
      <c r="I167" s="9" t="s">
        <v>727</v>
      </c>
      <c r="J167" s="15">
        <v>242</v>
      </c>
      <c r="K167" s="21">
        <v>30694</v>
      </c>
      <c r="L167" s="15" t="s">
        <v>728</v>
      </c>
      <c r="M167" s="28"/>
    </row>
    <row r="168" spans="1:13" ht="15.75" customHeight="1" x14ac:dyDescent="0.25">
      <c r="A168" s="12">
        <v>163</v>
      </c>
      <c r="B168" s="3" t="s">
        <v>720</v>
      </c>
      <c r="C168" s="9" t="s">
        <v>729</v>
      </c>
      <c r="D168" s="9"/>
      <c r="E168" s="9" t="s">
        <v>40</v>
      </c>
      <c r="F168" s="3" t="s">
        <v>34</v>
      </c>
      <c r="G168" s="9" t="s">
        <v>687</v>
      </c>
      <c r="H168" s="9" t="s">
        <v>730</v>
      </c>
      <c r="I168" s="9" t="s">
        <v>349</v>
      </c>
      <c r="J168" s="15" t="s">
        <v>377</v>
      </c>
      <c r="K168" s="21">
        <v>30761</v>
      </c>
      <c r="L168" s="15" t="s">
        <v>731</v>
      </c>
      <c r="M168" s="28"/>
    </row>
    <row r="169" spans="1:13" s="56" customFormat="1" ht="15.75" customHeight="1" x14ac:dyDescent="0.25">
      <c r="A169" s="12">
        <v>164</v>
      </c>
      <c r="B169" s="65" t="s">
        <v>720</v>
      </c>
      <c r="C169" s="66" t="s">
        <v>732</v>
      </c>
      <c r="D169" s="66"/>
      <c r="E169" s="66" t="s">
        <v>47</v>
      </c>
      <c r="F169" s="65" t="s">
        <v>34</v>
      </c>
      <c r="G169" s="66" t="s">
        <v>687</v>
      </c>
      <c r="H169" s="66" t="s">
        <v>726</v>
      </c>
      <c r="I169" s="66" t="s">
        <v>726</v>
      </c>
      <c r="J169" s="67" t="s">
        <v>733</v>
      </c>
      <c r="K169" s="68">
        <v>31961</v>
      </c>
      <c r="L169" s="67" t="s">
        <v>734</v>
      </c>
      <c r="M169" s="82"/>
    </row>
    <row r="170" spans="1:13" ht="15.75" customHeight="1" x14ac:dyDescent="0.25">
      <c r="A170" s="12">
        <v>165</v>
      </c>
      <c r="B170" s="3" t="s">
        <v>735</v>
      </c>
      <c r="C170" s="4" t="s">
        <v>736</v>
      </c>
      <c r="D170" s="4"/>
      <c r="E170" s="2" t="s">
        <v>25</v>
      </c>
      <c r="F170" s="4" t="s">
        <v>26</v>
      </c>
      <c r="G170" s="4" t="s">
        <v>737</v>
      </c>
      <c r="H170" s="4" t="s">
        <v>738</v>
      </c>
      <c r="I170" s="4" t="s">
        <v>739</v>
      </c>
      <c r="J170" s="17">
        <v>111</v>
      </c>
      <c r="K170" s="14" t="s">
        <v>740</v>
      </c>
      <c r="L170" s="14">
        <v>993248571</v>
      </c>
      <c r="M170" s="28"/>
    </row>
    <row r="171" spans="1:13" ht="15.75" customHeight="1" x14ac:dyDescent="0.25">
      <c r="A171" s="12">
        <v>166</v>
      </c>
      <c r="B171" s="3" t="s">
        <v>735</v>
      </c>
      <c r="C171" s="9" t="s">
        <v>741</v>
      </c>
      <c r="D171" s="9"/>
      <c r="E171" s="9" t="s">
        <v>33</v>
      </c>
      <c r="F171" s="3" t="s">
        <v>34</v>
      </c>
      <c r="G171" s="9" t="s">
        <v>742</v>
      </c>
      <c r="H171" s="9" t="s">
        <v>743</v>
      </c>
      <c r="I171" s="9" t="s">
        <v>744</v>
      </c>
      <c r="J171" s="15" t="s">
        <v>449</v>
      </c>
      <c r="K171" s="21">
        <v>33215</v>
      </c>
      <c r="L171" s="15" t="s">
        <v>745</v>
      </c>
      <c r="M171" s="28"/>
    </row>
    <row r="172" spans="1:13" ht="15.75" customHeight="1" x14ac:dyDescent="0.25">
      <c r="A172" s="12">
        <v>167</v>
      </c>
      <c r="B172" s="3" t="s">
        <v>735</v>
      </c>
      <c r="C172" s="9" t="s">
        <v>746</v>
      </c>
      <c r="D172" s="9"/>
      <c r="E172" s="9" t="s">
        <v>40</v>
      </c>
      <c r="F172" s="3" t="s">
        <v>34</v>
      </c>
      <c r="G172" s="9" t="s">
        <v>742</v>
      </c>
      <c r="H172" s="9" t="s">
        <v>743</v>
      </c>
      <c r="I172" s="9" t="s">
        <v>747</v>
      </c>
      <c r="J172" s="15" t="s">
        <v>71</v>
      </c>
      <c r="K172" s="21">
        <v>33417</v>
      </c>
      <c r="L172" s="15" t="s">
        <v>748</v>
      </c>
      <c r="M172" s="28"/>
    </row>
    <row r="173" spans="1:13" ht="15.75" customHeight="1" x14ac:dyDescent="0.25">
      <c r="A173" s="12">
        <v>168</v>
      </c>
      <c r="B173" s="3" t="s">
        <v>735</v>
      </c>
      <c r="C173" s="9" t="s">
        <v>749</v>
      </c>
      <c r="D173" s="9"/>
      <c r="E173" s="9" t="s">
        <v>47</v>
      </c>
      <c r="F173" s="3" t="s">
        <v>34</v>
      </c>
      <c r="G173" s="9" t="s">
        <v>742</v>
      </c>
      <c r="H173" s="9" t="s">
        <v>750</v>
      </c>
      <c r="I173" s="9" t="s">
        <v>751</v>
      </c>
      <c r="J173" s="15" t="s">
        <v>60</v>
      </c>
      <c r="K173" s="21">
        <v>23238</v>
      </c>
      <c r="L173" s="15" t="s">
        <v>752</v>
      </c>
      <c r="M173" s="28"/>
    </row>
    <row r="174" spans="1:13" ht="15.75" customHeight="1" x14ac:dyDescent="0.25">
      <c r="A174" s="12">
        <v>169</v>
      </c>
      <c r="B174" s="3" t="s">
        <v>753</v>
      </c>
      <c r="C174" s="4" t="s">
        <v>754</v>
      </c>
      <c r="D174" s="4"/>
      <c r="E174" s="2" t="s">
        <v>25</v>
      </c>
      <c r="F174" s="4" t="s">
        <v>26</v>
      </c>
      <c r="G174" s="4" t="s">
        <v>737</v>
      </c>
      <c r="H174" s="4" t="s">
        <v>738</v>
      </c>
      <c r="I174" s="4" t="s">
        <v>739</v>
      </c>
      <c r="J174" s="17">
        <v>3</v>
      </c>
      <c r="K174" s="14" t="s">
        <v>755</v>
      </c>
      <c r="L174" s="14">
        <v>999914641</v>
      </c>
      <c r="M174" s="28"/>
    </row>
    <row r="175" spans="1:13" ht="15.75" customHeight="1" x14ac:dyDescent="0.25">
      <c r="A175" s="12">
        <v>170</v>
      </c>
      <c r="B175" s="3" t="s">
        <v>753</v>
      </c>
      <c r="C175" s="9" t="s">
        <v>756</v>
      </c>
      <c r="D175" s="9"/>
      <c r="E175" s="9" t="s">
        <v>33</v>
      </c>
      <c r="F175" s="3" t="s">
        <v>34</v>
      </c>
      <c r="G175" s="9" t="s">
        <v>742</v>
      </c>
      <c r="H175" s="9" t="s">
        <v>757</v>
      </c>
      <c r="I175" s="9" t="s">
        <v>714</v>
      </c>
      <c r="J175" s="15" t="s">
        <v>733</v>
      </c>
      <c r="K175" s="21">
        <v>32899</v>
      </c>
      <c r="L175" s="15" t="s">
        <v>758</v>
      </c>
      <c r="M175" s="28"/>
    </row>
    <row r="176" spans="1:13" ht="15.75" customHeight="1" x14ac:dyDescent="0.25">
      <c r="A176" s="12">
        <v>171</v>
      </c>
      <c r="B176" s="3" t="s">
        <v>753</v>
      </c>
      <c r="C176" s="9" t="s">
        <v>759</v>
      </c>
      <c r="D176" s="9"/>
      <c r="E176" s="9" t="s">
        <v>40</v>
      </c>
      <c r="F176" s="3" t="s">
        <v>34</v>
      </c>
      <c r="G176" s="9" t="s">
        <v>742</v>
      </c>
      <c r="H176" s="9" t="s">
        <v>760</v>
      </c>
      <c r="I176" s="9" t="s">
        <v>642</v>
      </c>
      <c r="J176" s="15" t="s">
        <v>258</v>
      </c>
      <c r="K176" s="21">
        <v>33322</v>
      </c>
      <c r="L176" s="15" t="s">
        <v>761</v>
      </c>
      <c r="M176" s="28"/>
    </row>
    <row r="177" spans="1:13" ht="15.75" customHeight="1" x14ac:dyDescent="0.25">
      <c r="A177" s="12">
        <v>172</v>
      </c>
      <c r="B177" s="3" t="s">
        <v>753</v>
      </c>
      <c r="C177" s="9" t="s">
        <v>762</v>
      </c>
      <c r="D177" s="9"/>
      <c r="E177" s="9" t="s">
        <v>47</v>
      </c>
      <c r="F177" s="3" t="s">
        <v>34</v>
      </c>
      <c r="G177" s="9" t="s">
        <v>742</v>
      </c>
      <c r="H177" s="9" t="s">
        <v>763</v>
      </c>
      <c r="I177" s="9" t="s">
        <v>764</v>
      </c>
      <c r="J177" s="15" t="s">
        <v>765</v>
      </c>
      <c r="K177" s="21">
        <v>31467</v>
      </c>
      <c r="L177" s="15" t="s">
        <v>766</v>
      </c>
      <c r="M177" s="28"/>
    </row>
    <row r="178" spans="1:13" ht="15.75" customHeight="1" x14ac:dyDescent="0.25">
      <c r="A178" s="12">
        <v>173</v>
      </c>
      <c r="B178" s="3" t="s">
        <v>767</v>
      </c>
      <c r="C178" s="4" t="s">
        <v>768</v>
      </c>
      <c r="D178" s="4"/>
      <c r="E178" s="2" t="s">
        <v>25</v>
      </c>
      <c r="F178" s="4" t="s">
        <v>26</v>
      </c>
      <c r="G178" s="4" t="s">
        <v>273</v>
      </c>
      <c r="H178" s="4" t="s">
        <v>769</v>
      </c>
      <c r="I178" s="4" t="s">
        <v>770</v>
      </c>
      <c r="J178" s="17">
        <v>64</v>
      </c>
      <c r="K178" s="14" t="s">
        <v>771</v>
      </c>
      <c r="L178" s="14">
        <v>905355587</v>
      </c>
      <c r="M178" s="28"/>
    </row>
    <row r="179" spans="1:13" ht="15.75" customHeight="1" x14ac:dyDescent="0.25">
      <c r="A179" s="12">
        <v>174</v>
      </c>
      <c r="B179" s="3" t="s">
        <v>767</v>
      </c>
      <c r="C179" s="9" t="s">
        <v>772</v>
      </c>
      <c r="D179" s="9"/>
      <c r="E179" s="9" t="s">
        <v>33</v>
      </c>
      <c r="F179" s="3" t="s">
        <v>34</v>
      </c>
      <c r="G179" s="9" t="s">
        <v>273</v>
      </c>
      <c r="H179" s="9" t="s">
        <v>773</v>
      </c>
      <c r="I179" s="9" t="s">
        <v>774</v>
      </c>
      <c r="J179" s="15" t="s">
        <v>155</v>
      </c>
      <c r="K179" s="21">
        <v>30325</v>
      </c>
      <c r="L179" s="15" t="s">
        <v>775</v>
      </c>
      <c r="M179" s="28"/>
    </row>
    <row r="180" spans="1:13" ht="15.75" customHeight="1" x14ac:dyDescent="0.25">
      <c r="A180" s="12">
        <v>175</v>
      </c>
      <c r="B180" s="3" t="s">
        <v>767</v>
      </c>
      <c r="C180" s="9" t="s">
        <v>776</v>
      </c>
      <c r="D180" s="9"/>
      <c r="E180" s="9" t="s">
        <v>40</v>
      </c>
      <c r="F180" s="3" t="s">
        <v>34</v>
      </c>
      <c r="G180" s="9" t="s">
        <v>273</v>
      </c>
      <c r="H180" s="9" t="s">
        <v>777</v>
      </c>
      <c r="I180" s="9" t="s">
        <v>778</v>
      </c>
      <c r="J180" s="15" t="s">
        <v>88</v>
      </c>
      <c r="K180" s="21">
        <v>32876</v>
      </c>
      <c r="L180" s="15" t="s">
        <v>779</v>
      </c>
      <c r="M180" s="28"/>
    </row>
    <row r="181" spans="1:13" ht="15.75" customHeight="1" x14ac:dyDescent="0.25">
      <c r="A181" s="12">
        <v>176</v>
      </c>
      <c r="B181" s="3" t="s">
        <v>767</v>
      </c>
      <c r="C181" s="9" t="s">
        <v>780</v>
      </c>
      <c r="D181" s="9"/>
      <c r="E181" s="9" t="s">
        <v>47</v>
      </c>
      <c r="F181" s="3" t="s">
        <v>34</v>
      </c>
      <c r="G181" s="9" t="s">
        <v>273</v>
      </c>
      <c r="H181" s="9" t="s">
        <v>781</v>
      </c>
      <c r="I181" s="9" t="s">
        <v>782</v>
      </c>
      <c r="J181" s="15" t="s">
        <v>783</v>
      </c>
      <c r="K181" s="21">
        <v>33180</v>
      </c>
      <c r="L181" s="15" t="s">
        <v>784</v>
      </c>
      <c r="M181" s="28"/>
    </row>
    <row r="182" spans="1:13" ht="15.75" customHeight="1" x14ac:dyDescent="0.25">
      <c r="A182" s="12">
        <v>177</v>
      </c>
      <c r="B182" s="3" t="s">
        <v>785</v>
      </c>
      <c r="C182" s="4" t="s">
        <v>786</v>
      </c>
      <c r="D182" s="4"/>
      <c r="E182" s="2" t="s">
        <v>25</v>
      </c>
      <c r="F182" s="4" t="s">
        <v>26</v>
      </c>
      <c r="G182" s="4" t="s">
        <v>273</v>
      </c>
      <c r="H182" s="4" t="s">
        <v>787</v>
      </c>
      <c r="I182" s="4" t="s">
        <v>458</v>
      </c>
      <c r="J182" s="17">
        <v>58</v>
      </c>
      <c r="K182" s="14" t="s">
        <v>788</v>
      </c>
      <c r="L182" s="14">
        <v>905633711</v>
      </c>
      <c r="M182" s="28"/>
    </row>
    <row r="183" spans="1:13" ht="15.75" customHeight="1" x14ac:dyDescent="0.25">
      <c r="A183" s="12">
        <v>178</v>
      </c>
      <c r="B183" s="3" t="s">
        <v>785</v>
      </c>
      <c r="C183" s="9" t="s">
        <v>789</v>
      </c>
      <c r="D183" s="9"/>
      <c r="E183" s="9" t="s">
        <v>33</v>
      </c>
      <c r="F183" s="3" t="s">
        <v>34</v>
      </c>
      <c r="G183" s="9" t="s">
        <v>273</v>
      </c>
      <c r="H183" s="9" t="s">
        <v>790</v>
      </c>
      <c r="I183" s="9" t="s">
        <v>791</v>
      </c>
      <c r="J183" s="15" t="s">
        <v>792</v>
      </c>
      <c r="K183" s="21">
        <v>32262</v>
      </c>
      <c r="L183" s="15" t="s">
        <v>793</v>
      </c>
      <c r="M183" s="28"/>
    </row>
    <row r="184" spans="1:13" ht="15.75" customHeight="1" x14ac:dyDescent="0.25">
      <c r="A184" s="12">
        <v>179</v>
      </c>
      <c r="B184" s="3" t="s">
        <v>785</v>
      </c>
      <c r="C184" s="9" t="s">
        <v>794</v>
      </c>
      <c r="D184" s="9"/>
      <c r="E184" s="9" t="s">
        <v>40</v>
      </c>
      <c r="F184" s="3" t="s">
        <v>34</v>
      </c>
      <c r="G184" s="9" t="s">
        <v>273</v>
      </c>
      <c r="H184" s="9" t="s">
        <v>790</v>
      </c>
      <c r="I184" s="9" t="s">
        <v>595</v>
      </c>
      <c r="J184" s="15" t="s">
        <v>795</v>
      </c>
      <c r="K184" s="21">
        <v>33518</v>
      </c>
      <c r="L184" s="15" t="s">
        <v>796</v>
      </c>
      <c r="M184" s="28"/>
    </row>
    <row r="185" spans="1:13" ht="15.75" customHeight="1" x14ac:dyDescent="0.25">
      <c r="A185" s="12">
        <v>180</v>
      </c>
      <c r="B185" s="3" t="s">
        <v>785</v>
      </c>
      <c r="C185" s="9" t="s">
        <v>797</v>
      </c>
      <c r="D185" s="9"/>
      <c r="E185" s="9" t="s">
        <v>47</v>
      </c>
      <c r="F185" s="3" t="s">
        <v>34</v>
      </c>
      <c r="G185" s="9" t="s">
        <v>273</v>
      </c>
      <c r="H185" s="9" t="s">
        <v>790</v>
      </c>
      <c r="I185" s="9" t="s">
        <v>595</v>
      </c>
      <c r="J185" s="15" t="s">
        <v>798</v>
      </c>
      <c r="K185" s="21">
        <v>31523</v>
      </c>
      <c r="L185" s="15" t="s">
        <v>799</v>
      </c>
      <c r="M185" s="28"/>
    </row>
    <row r="186" spans="1:13" ht="15.75" customHeight="1" x14ac:dyDescent="0.25">
      <c r="A186" s="12">
        <v>181</v>
      </c>
      <c r="B186" s="3" t="s">
        <v>800</v>
      </c>
      <c r="C186" s="4" t="s">
        <v>801</v>
      </c>
      <c r="D186" s="4"/>
      <c r="E186" s="2" t="s">
        <v>25</v>
      </c>
      <c r="F186" s="4" t="s">
        <v>26</v>
      </c>
      <c r="G186" s="4" t="s">
        <v>273</v>
      </c>
      <c r="H186" s="4" t="s">
        <v>802</v>
      </c>
      <c r="I186" s="4" t="s">
        <v>275</v>
      </c>
      <c r="J186" s="17">
        <v>6</v>
      </c>
      <c r="K186" s="14" t="s">
        <v>803</v>
      </c>
      <c r="L186" s="14">
        <v>911160019</v>
      </c>
      <c r="M186" s="28"/>
    </row>
    <row r="187" spans="1:13" ht="15.75" customHeight="1" x14ac:dyDescent="0.25">
      <c r="A187" s="12">
        <v>182</v>
      </c>
      <c r="B187" s="3" t="s">
        <v>800</v>
      </c>
      <c r="C187" s="9" t="s">
        <v>804</v>
      </c>
      <c r="D187" s="9"/>
      <c r="E187" s="9" t="s">
        <v>33</v>
      </c>
      <c r="F187" s="9" t="s">
        <v>34</v>
      </c>
      <c r="G187" s="9" t="s">
        <v>273</v>
      </c>
      <c r="H187" s="9" t="s">
        <v>805</v>
      </c>
      <c r="I187" s="9" t="s">
        <v>313</v>
      </c>
      <c r="J187" s="15" t="s">
        <v>225</v>
      </c>
      <c r="K187" s="21">
        <v>30047</v>
      </c>
      <c r="L187" s="15" t="s">
        <v>806</v>
      </c>
      <c r="M187" s="28"/>
    </row>
    <row r="188" spans="1:13" s="37" customFormat="1" ht="15.75" customHeight="1" x14ac:dyDescent="0.25">
      <c r="A188" s="12">
        <v>183</v>
      </c>
      <c r="B188" s="36" t="s">
        <v>800</v>
      </c>
      <c r="C188" s="87" t="s">
        <v>807</v>
      </c>
      <c r="D188" s="33" t="s">
        <v>85</v>
      </c>
      <c r="E188" s="33" t="s">
        <v>40</v>
      </c>
      <c r="F188" s="30" t="s">
        <v>34</v>
      </c>
      <c r="G188" s="30" t="s">
        <v>273</v>
      </c>
      <c r="H188" s="33" t="s">
        <v>242</v>
      </c>
      <c r="I188" s="33" t="s">
        <v>808</v>
      </c>
      <c r="J188" s="34" t="s">
        <v>809</v>
      </c>
      <c r="K188" s="64"/>
      <c r="L188" s="61"/>
      <c r="M188" s="84"/>
    </row>
    <row r="189" spans="1:13" ht="15.75" customHeight="1" x14ac:dyDescent="0.25">
      <c r="A189" s="12">
        <v>184</v>
      </c>
      <c r="B189" s="3" t="s">
        <v>800</v>
      </c>
      <c r="C189" s="9" t="s">
        <v>810</v>
      </c>
      <c r="D189" s="9"/>
      <c r="E189" s="9" t="s">
        <v>47</v>
      </c>
      <c r="F189" s="9" t="s">
        <v>34</v>
      </c>
      <c r="G189" s="9" t="s">
        <v>273</v>
      </c>
      <c r="H189" s="9" t="s">
        <v>773</v>
      </c>
      <c r="I189" s="9" t="s">
        <v>773</v>
      </c>
      <c r="J189" s="15" t="s">
        <v>765</v>
      </c>
      <c r="K189" s="21">
        <v>30205</v>
      </c>
      <c r="L189" s="15" t="s">
        <v>811</v>
      </c>
      <c r="M189" s="28"/>
    </row>
    <row r="190" spans="1:13" ht="15.75" customHeight="1" x14ac:dyDescent="0.25">
      <c r="A190" s="12">
        <v>185</v>
      </c>
      <c r="B190" s="3" t="s">
        <v>812</v>
      </c>
      <c r="C190" s="7" t="s">
        <v>813</v>
      </c>
      <c r="D190" s="7"/>
      <c r="E190" s="2" t="s">
        <v>25</v>
      </c>
      <c r="F190" s="4" t="s">
        <v>26</v>
      </c>
      <c r="G190" s="7" t="s">
        <v>446</v>
      </c>
      <c r="H190" s="7" t="s">
        <v>814</v>
      </c>
      <c r="I190" s="7" t="s">
        <v>815</v>
      </c>
      <c r="J190" s="25">
        <v>12</v>
      </c>
      <c r="K190" s="20" t="s">
        <v>816</v>
      </c>
      <c r="L190" s="20">
        <v>911449123</v>
      </c>
      <c r="M190" s="28"/>
    </row>
    <row r="191" spans="1:13" ht="15.75" customHeight="1" x14ac:dyDescent="0.25">
      <c r="A191" s="12">
        <v>186</v>
      </c>
      <c r="B191" s="3" t="s">
        <v>812</v>
      </c>
      <c r="C191" s="88" t="s">
        <v>817</v>
      </c>
      <c r="D191" s="9"/>
      <c r="E191" s="9" t="s">
        <v>33</v>
      </c>
      <c r="F191" s="9" t="s">
        <v>34</v>
      </c>
      <c r="G191" s="7" t="s">
        <v>446</v>
      </c>
      <c r="H191" s="9" t="s">
        <v>818</v>
      </c>
      <c r="I191" s="9" t="s">
        <v>819</v>
      </c>
      <c r="J191" s="15" t="s">
        <v>765</v>
      </c>
      <c r="K191" s="21">
        <v>32529</v>
      </c>
      <c r="L191" s="15" t="s">
        <v>820</v>
      </c>
      <c r="M191" s="28"/>
    </row>
    <row r="192" spans="1:13" ht="15.75" customHeight="1" x14ac:dyDescent="0.25">
      <c r="A192" s="12">
        <v>187</v>
      </c>
      <c r="B192" s="3" t="s">
        <v>812</v>
      </c>
      <c r="C192" s="9" t="s">
        <v>821</v>
      </c>
      <c r="D192" s="9"/>
      <c r="E192" s="9" t="s">
        <v>40</v>
      </c>
      <c r="F192" s="9" t="s">
        <v>34</v>
      </c>
      <c r="G192" s="7" t="s">
        <v>446</v>
      </c>
      <c r="H192" s="9" t="s">
        <v>814</v>
      </c>
      <c r="I192" s="9" t="s">
        <v>822</v>
      </c>
      <c r="J192" s="15">
        <v>29</v>
      </c>
      <c r="K192" s="21">
        <v>29890</v>
      </c>
      <c r="L192" s="15" t="s">
        <v>823</v>
      </c>
      <c r="M192" s="28"/>
    </row>
    <row r="193" spans="1:13" ht="15.75" customHeight="1" x14ac:dyDescent="0.25">
      <c r="A193" s="12">
        <v>188</v>
      </c>
      <c r="B193" s="3" t="s">
        <v>812</v>
      </c>
      <c r="C193" s="9" t="s">
        <v>824</v>
      </c>
      <c r="D193" s="9"/>
      <c r="E193" s="9" t="s">
        <v>47</v>
      </c>
      <c r="F193" s="9" t="s">
        <v>34</v>
      </c>
      <c r="G193" s="7" t="s">
        <v>446</v>
      </c>
      <c r="H193" s="9" t="s">
        <v>496</v>
      </c>
      <c r="I193" s="9" t="s">
        <v>642</v>
      </c>
      <c r="J193" s="15">
        <v>12</v>
      </c>
      <c r="K193" s="21">
        <v>26095</v>
      </c>
      <c r="L193" s="15" t="s">
        <v>825</v>
      </c>
      <c r="M193" s="28"/>
    </row>
    <row r="194" spans="1:13" s="35" customFormat="1" ht="15.75" customHeight="1" x14ac:dyDescent="0.25">
      <c r="A194" s="12">
        <v>189</v>
      </c>
      <c r="B194" s="29" t="s">
        <v>826</v>
      </c>
      <c r="C194" s="38" t="s">
        <v>827</v>
      </c>
      <c r="D194" s="38" t="s">
        <v>75</v>
      </c>
      <c r="E194" s="42" t="s">
        <v>25</v>
      </c>
      <c r="F194" s="38" t="s">
        <v>26</v>
      </c>
      <c r="G194" s="40" t="s">
        <v>446</v>
      </c>
      <c r="H194" s="38" t="s">
        <v>828</v>
      </c>
      <c r="I194" s="38" t="s">
        <v>829</v>
      </c>
      <c r="J194" s="43">
        <v>56</v>
      </c>
      <c r="K194" s="44" t="s">
        <v>830</v>
      </c>
      <c r="L194" s="44">
        <v>911545697</v>
      </c>
      <c r="M194" s="83"/>
    </row>
    <row r="195" spans="1:13" ht="15.75" customHeight="1" x14ac:dyDescent="0.25">
      <c r="A195" s="12">
        <v>190</v>
      </c>
      <c r="B195" s="3" t="s">
        <v>826</v>
      </c>
      <c r="C195" s="9" t="s">
        <v>831</v>
      </c>
      <c r="D195" s="9"/>
      <c r="E195" s="9" t="s">
        <v>33</v>
      </c>
      <c r="F195" s="9" t="s">
        <v>34</v>
      </c>
      <c r="G195" s="7" t="s">
        <v>446</v>
      </c>
      <c r="H195" s="9" t="s">
        <v>832</v>
      </c>
      <c r="I195" s="9" t="s">
        <v>833</v>
      </c>
      <c r="J195" s="15" t="s">
        <v>834</v>
      </c>
      <c r="K195" s="21">
        <v>31714</v>
      </c>
      <c r="L195" s="15" t="s">
        <v>835</v>
      </c>
      <c r="M195" s="28"/>
    </row>
    <row r="196" spans="1:13" ht="15.75" customHeight="1" x14ac:dyDescent="0.25">
      <c r="A196" s="12">
        <v>191</v>
      </c>
      <c r="B196" s="3" t="s">
        <v>826</v>
      </c>
      <c r="C196" s="88" t="s">
        <v>836</v>
      </c>
      <c r="D196" s="9"/>
      <c r="E196" s="9" t="s">
        <v>40</v>
      </c>
      <c r="F196" s="9" t="s">
        <v>34</v>
      </c>
      <c r="G196" s="7" t="s">
        <v>446</v>
      </c>
      <c r="H196" s="9" t="s">
        <v>837</v>
      </c>
      <c r="I196" s="9" t="s">
        <v>285</v>
      </c>
      <c r="J196" s="15" t="s">
        <v>838</v>
      </c>
      <c r="K196" s="21">
        <v>31293</v>
      </c>
      <c r="L196" s="15" t="s">
        <v>839</v>
      </c>
      <c r="M196" s="28"/>
    </row>
    <row r="197" spans="1:13" ht="15.75" customHeight="1" x14ac:dyDescent="0.25">
      <c r="A197" s="12">
        <v>192</v>
      </c>
      <c r="B197" s="3" t="s">
        <v>826</v>
      </c>
      <c r="C197" s="9" t="s">
        <v>840</v>
      </c>
      <c r="D197" s="9"/>
      <c r="E197" s="9" t="s">
        <v>47</v>
      </c>
      <c r="F197" s="9" t="s">
        <v>34</v>
      </c>
      <c r="G197" s="7" t="s">
        <v>446</v>
      </c>
      <c r="H197" s="9" t="s">
        <v>841</v>
      </c>
      <c r="I197" s="9" t="s">
        <v>842</v>
      </c>
      <c r="J197" s="15" t="s">
        <v>843</v>
      </c>
      <c r="K197" s="21">
        <v>25239</v>
      </c>
      <c r="L197" s="15" t="s">
        <v>844</v>
      </c>
      <c r="M197" s="28"/>
    </row>
    <row r="198" spans="1:13" ht="15.75" customHeight="1" x14ac:dyDescent="0.25">
      <c r="A198" s="12">
        <v>193</v>
      </c>
      <c r="B198" s="3" t="s">
        <v>845</v>
      </c>
      <c r="C198" s="4" t="s">
        <v>846</v>
      </c>
      <c r="D198" s="4"/>
      <c r="E198" s="2" t="s">
        <v>25</v>
      </c>
      <c r="F198" s="4" t="s">
        <v>26</v>
      </c>
      <c r="G198" s="4" t="s">
        <v>205</v>
      </c>
      <c r="H198" s="4" t="s">
        <v>847</v>
      </c>
      <c r="I198" s="4" t="s">
        <v>848</v>
      </c>
      <c r="J198" s="17">
        <v>2</v>
      </c>
      <c r="K198" s="14" t="s">
        <v>849</v>
      </c>
      <c r="L198" s="14">
        <v>996440485</v>
      </c>
      <c r="M198" s="28"/>
    </row>
    <row r="199" spans="1:13" ht="15.75" customHeight="1" x14ac:dyDescent="0.25">
      <c r="A199" s="12">
        <v>194</v>
      </c>
      <c r="B199" s="29" t="s">
        <v>845</v>
      </c>
      <c r="C199" s="87" t="s">
        <v>850</v>
      </c>
      <c r="D199" s="30" t="s">
        <v>85</v>
      </c>
      <c r="E199" s="30" t="s">
        <v>33</v>
      </c>
      <c r="F199" s="30" t="s">
        <v>34</v>
      </c>
      <c r="G199" s="30" t="s">
        <v>851</v>
      </c>
      <c r="H199" s="30" t="s">
        <v>852</v>
      </c>
      <c r="I199" s="30" t="s">
        <v>853</v>
      </c>
      <c r="J199" s="31" t="s">
        <v>60</v>
      </c>
      <c r="K199" s="63"/>
      <c r="L199" s="59"/>
      <c r="M199" s="28"/>
    </row>
    <row r="200" spans="1:13" s="35" customFormat="1" ht="15.75" customHeight="1" x14ac:dyDescent="0.25">
      <c r="A200" s="12">
        <v>195</v>
      </c>
      <c r="B200" s="29" t="s">
        <v>845</v>
      </c>
      <c r="C200" s="87" t="s">
        <v>854</v>
      </c>
      <c r="D200" s="30" t="s">
        <v>85</v>
      </c>
      <c r="E200" s="30" t="s">
        <v>40</v>
      </c>
      <c r="F200" s="30" t="s">
        <v>34</v>
      </c>
      <c r="G200" s="30" t="s">
        <v>851</v>
      </c>
      <c r="H200" s="30" t="s">
        <v>837</v>
      </c>
      <c r="I200" s="30" t="s">
        <v>285</v>
      </c>
      <c r="J200" s="31" t="s">
        <v>838</v>
      </c>
      <c r="K200" s="63"/>
      <c r="L200" s="59"/>
      <c r="M200" s="83"/>
    </row>
    <row r="201" spans="1:13" s="35" customFormat="1" ht="15.75" customHeight="1" x14ac:dyDescent="0.25">
      <c r="A201" s="12">
        <v>196</v>
      </c>
      <c r="B201" s="29" t="s">
        <v>845</v>
      </c>
      <c r="C201" s="87" t="s">
        <v>855</v>
      </c>
      <c r="D201" s="30" t="s">
        <v>85</v>
      </c>
      <c r="E201" s="30" t="s">
        <v>47</v>
      </c>
      <c r="F201" s="30" t="s">
        <v>34</v>
      </c>
      <c r="G201" s="30" t="s">
        <v>851</v>
      </c>
      <c r="H201" s="30" t="s">
        <v>359</v>
      </c>
      <c r="I201" s="30" t="s">
        <v>386</v>
      </c>
      <c r="J201" s="31" t="s">
        <v>856</v>
      </c>
      <c r="K201" s="63"/>
      <c r="L201" s="59"/>
      <c r="M201" s="83"/>
    </row>
    <row r="202" spans="1:13" ht="15.75" customHeight="1" x14ac:dyDescent="0.25">
      <c r="A202" s="12">
        <v>197</v>
      </c>
      <c r="B202" s="3" t="s">
        <v>857</v>
      </c>
      <c r="C202" s="4" t="s">
        <v>858</v>
      </c>
      <c r="D202" s="4"/>
      <c r="E202" s="2" t="s">
        <v>25</v>
      </c>
      <c r="F202" s="4" t="s">
        <v>26</v>
      </c>
      <c r="G202" s="7" t="s">
        <v>446</v>
      </c>
      <c r="H202" s="4" t="s">
        <v>859</v>
      </c>
      <c r="I202" s="4" t="s">
        <v>257</v>
      </c>
      <c r="J202" s="17">
        <v>8</v>
      </c>
      <c r="K202" s="14" t="s">
        <v>860</v>
      </c>
      <c r="L202" s="14">
        <v>917370165</v>
      </c>
      <c r="M202" s="28"/>
    </row>
    <row r="203" spans="1:13" ht="15.75" customHeight="1" x14ac:dyDescent="0.25">
      <c r="A203" s="12">
        <v>198</v>
      </c>
      <c r="B203" s="3" t="s">
        <v>857</v>
      </c>
      <c r="C203" s="9" t="s">
        <v>861</v>
      </c>
      <c r="D203" s="9"/>
      <c r="E203" s="9" t="s">
        <v>33</v>
      </c>
      <c r="F203" s="9" t="s">
        <v>34</v>
      </c>
      <c r="G203" s="9" t="s">
        <v>851</v>
      </c>
      <c r="H203" s="9" t="s">
        <v>862</v>
      </c>
      <c r="I203" s="9" t="s">
        <v>251</v>
      </c>
      <c r="J203" s="15" t="s">
        <v>706</v>
      </c>
      <c r="K203" s="21">
        <v>29075</v>
      </c>
      <c r="L203" s="15" t="s">
        <v>863</v>
      </c>
      <c r="M203" s="28"/>
    </row>
    <row r="204" spans="1:13" ht="15.75" customHeight="1" x14ac:dyDescent="0.25">
      <c r="A204" s="12">
        <v>199</v>
      </c>
      <c r="B204" s="3" t="s">
        <v>857</v>
      </c>
      <c r="C204" s="9" t="s">
        <v>864</v>
      </c>
      <c r="D204" s="9"/>
      <c r="E204" s="9" t="s">
        <v>40</v>
      </c>
      <c r="F204" s="9" t="s">
        <v>34</v>
      </c>
      <c r="G204" s="9" t="s">
        <v>851</v>
      </c>
      <c r="H204" s="9" t="s">
        <v>852</v>
      </c>
      <c r="I204" s="9" t="s">
        <v>458</v>
      </c>
      <c r="J204" s="15" t="s">
        <v>865</v>
      </c>
      <c r="K204" s="21">
        <v>28929</v>
      </c>
      <c r="L204" s="15" t="s">
        <v>866</v>
      </c>
      <c r="M204" s="28"/>
    </row>
    <row r="205" spans="1:13" ht="15.75" customHeight="1" x14ac:dyDescent="0.25">
      <c r="A205" s="12">
        <v>200</v>
      </c>
      <c r="B205" s="3" t="s">
        <v>857</v>
      </c>
      <c r="C205" s="9" t="s">
        <v>867</v>
      </c>
      <c r="D205" s="9"/>
      <c r="E205" s="9" t="s">
        <v>47</v>
      </c>
      <c r="F205" s="9" t="s">
        <v>34</v>
      </c>
      <c r="G205" s="9" t="s">
        <v>851</v>
      </c>
      <c r="H205" s="9" t="s">
        <v>508</v>
      </c>
      <c r="I205" s="9" t="s">
        <v>868</v>
      </c>
      <c r="J205" s="15" t="s">
        <v>869</v>
      </c>
      <c r="K205" s="21">
        <v>35708</v>
      </c>
      <c r="L205" s="15" t="s">
        <v>870</v>
      </c>
      <c r="M205" s="28"/>
    </row>
    <row r="206" spans="1:13" ht="15.75" customHeight="1" x14ac:dyDescent="0.25">
      <c r="A206" s="12">
        <v>201</v>
      </c>
      <c r="B206" s="3" t="s">
        <v>871</v>
      </c>
      <c r="C206" s="4" t="s">
        <v>872</v>
      </c>
      <c r="D206" s="4"/>
      <c r="E206" s="2" t="s">
        <v>25</v>
      </c>
      <c r="F206" s="4" t="s">
        <v>26</v>
      </c>
      <c r="G206" s="2" t="s">
        <v>422</v>
      </c>
      <c r="H206" s="4" t="s">
        <v>873</v>
      </c>
      <c r="I206" s="4" t="s">
        <v>424</v>
      </c>
      <c r="J206" s="17">
        <v>51</v>
      </c>
      <c r="K206" s="14" t="s">
        <v>874</v>
      </c>
      <c r="L206" s="14">
        <v>916871661</v>
      </c>
      <c r="M206" s="28"/>
    </row>
    <row r="207" spans="1:13" ht="15.75" customHeight="1" x14ac:dyDescent="0.25">
      <c r="A207" s="12">
        <v>202</v>
      </c>
      <c r="B207" s="3" t="s">
        <v>871</v>
      </c>
      <c r="C207" s="9" t="s">
        <v>875</v>
      </c>
      <c r="D207" s="9"/>
      <c r="E207" s="9" t="s">
        <v>33</v>
      </c>
      <c r="F207" s="9" t="s">
        <v>34</v>
      </c>
      <c r="G207" s="9" t="s">
        <v>35</v>
      </c>
      <c r="H207" s="9" t="s">
        <v>876</v>
      </c>
      <c r="I207" s="9" t="s">
        <v>188</v>
      </c>
      <c r="J207" s="15" t="s">
        <v>877</v>
      </c>
      <c r="K207" s="21">
        <v>26785</v>
      </c>
      <c r="L207" s="15" t="s">
        <v>878</v>
      </c>
      <c r="M207" s="28"/>
    </row>
    <row r="208" spans="1:13" ht="15.75" customHeight="1" x14ac:dyDescent="0.25">
      <c r="A208" s="12">
        <v>203</v>
      </c>
      <c r="B208" s="3" t="s">
        <v>871</v>
      </c>
      <c r="C208" s="9" t="s">
        <v>879</v>
      </c>
      <c r="D208" s="9"/>
      <c r="E208" s="9" t="s">
        <v>40</v>
      </c>
      <c r="F208" s="9" t="s">
        <v>34</v>
      </c>
      <c r="G208" s="9" t="s">
        <v>35</v>
      </c>
      <c r="H208" s="9" t="s">
        <v>880</v>
      </c>
      <c r="I208" s="9" t="s">
        <v>881</v>
      </c>
      <c r="J208" s="15" t="s">
        <v>30</v>
      </c>
      <c r="K208" s="21">
        <v>30986</v>
      </c>
      <c r="L208" s="15" t="s">
        <v>882</v>
      </c>
      <c r="M208" s="28"/>
    </row>
    <row r="209" spans="1:13" ht="15.75" customHeight="1" x14ac:dyDescent="0.25">
      <c r="A209" s="12">
        <v>204</v>
      </c>
      <c r="B209" s="3" t="s">
        <v>871</v>
      </c>
      <c r="C209" s="9" t="s">
        <v>883</v>
      </c>
      <c r="D209" s="9"/>
      <c r="E209" s="9" t="s">
        <v>47</v>
      </c>
      <c r="F209" s="9" t="s">
        <v>34</v>
      </c>
      <c r="G209" s="9" t="s">
        <v>35</v>
      </c>
      <c r="H209" s="9" t="s">
        <v>781</v>
      </c>
      <c r="I209" s="9" t="s">
        <v>884</v>
      </c>
      <c r="J209" s="15" t="s">
        <v>682</v>
      </c>
      <c r="K209" s="21">
        <v>31844</v>
      </c>
      <c r="L209" s="15" t="s">
        <v>885</v>
      </c>
      <c r="M209" s="28"/>
    </row>
    <row r="210" spans="1:13" ht="15.75" customHeight="1" x14ac:dyDescent="0.25">
      <c r="A210" s="12">
        <v>205</v>
      </c>
      <c r="B210" s="3" t="s">
        <v>886</v>
      </c>
      <c r="C210" s="2" t="s">
        <v>887</v>
      </c>
      <c r="D210" s="2"/>
      <c r="E210" s="2" t="s">
        <v>25</v>
      </c>
      <c r="F210" s="4" t="s">
        <v>26</v>
      </c>
      <c r="G210" s="2" t="s">
        <v>422</v>
      </c>
      <c r="H210" s="2" t="s">
        <v>888</v>
      </c>
      <c r="I210" s="2" t="s">
        <v>889</v>
      </c>
      <c r="J210" s="14" t="s">
        <v>890</v>
      </c>
      <c r="K210" s="14" t="s">
        <v>891</v>
      </c>
      <c r="L210" s="14">
        <v>903620027</v>
      </c>
      <c r="M210" s="28"/>
    </row>
    <row r="211" spans="1:13" ht="15.75" customHeight="1" x14ac:dyDescent="0.25">
      <c r="A211" s="12">
        <v>206</v>
      </c>
      <c r="B211" s="3" t="s">
        <v>886</v>
      </c>
      <c r="C211" s="9" t="s">
        <v>892</v>
      </c>
      <c r="D211" s="9"/>
      <c r="E211" s="9" t="s">
        <v>33</v>
      </c>
      <c r="F211" s="9" t="s">
        <v>34</v>
      </c>
      <c r="G211" s="9" t="s">
        <v>35</v>
      </c>
      <c r="H211" s="9" t="s">
        <v>893</v>
      </c>
      <c r="I211" s="9" t="s">
        <v>164</v>
      </c>
      <c r="J211" s="15">
        <v>10</v>
      </c>
      <c r="K211" s="21">
        <v>30543</v>
      </c>
      <c r="L211" s="15" t="s">
        <v>894</v>
      </c>
      <c r="M211" s="28"/>
    </row>
    <row r="212" spans="1:13" s="35" customFormat="1" ht="15.75" customHeight="1" x14ac:dyDescent="0.25">
      <c r="A212" s="12">
        <v>207</v>
      </c>
      <c r="B212" s="29" t="s">
        <v>886</v>
      </c>
      <c r="C212" s="30" t="s">
        <v>83</v>
      </c>
      <c r="D212" s="30" t="s">
        <v>75</v>
      </c>
      <c r="E212" s="30" t="s">
        <v>40</v>
      </c>
      <c r="F212" s="30"/>
      <c r="G212" s="30"/>
      <c r="H212" s="30"/>
      <c r="I212" s="30"/>
      <c r="J212" s="31"/>
      <c r="K212" s="32"/>
      <c r="L212" s="31"/>
      <c r="M212" s="83"/>
    </row>
    <row r="213" spans="1:13" ht="15.75" customHeight="1" x14ac:dyDescent="0.25">
      <c r="A213" s="12">
        <v>208</v>
      </c>
      <c r="B213" s="3" t="s">
        <v>886</v>
      </c>
      <c r="C213" s="9" t="s">
        <v>895</v>
      </c>
      <c r="D213" s="9"/>
      <c r="E213" s="9" t="s">
        <v>47</v>
      </c>
      <c r="F213" s="9" t="s">
        <v>34</v>
      </c>
      <c r="G213" s="9" t="s">
        <v>35</v>
      </c>
      <c r="H213" s="9" t="s">
        <v>131</v>
      </c>
      <c r="I213" s="9" t="s">
        <v>896</v>
      </c>
      <c r="J213" s="15">
        <v>18</v>
      </c>
      <c r="K213" s="21">
        <v>24540</v>
      </c>
      <c r="L213" s="15" t="s">
        <v>897</v>
      </c>
      <c r="M213" s="28"/>
    </row>
    <row r="214" spans="1:13" ht="15.75" customHeight="1" x14ac:dyDescent="0.25">
      <c r="A214" s="12">
        <v>209</v>
      </c>
      <c r="B214" s="3" t="s">
        <v>898</v>
      </c>
      <c r="C214" s="4" t="s">
        <v>899</v>
      </c>
      <c r="D214" s="4"/>
      <c r="E214" s="2" t="s">
        <v>25</v>
      </c>
      <c r="F214" s="4" t="s">
        <v>26</v>
      </c>
      <c r="G214" s="4" t="s">
        <v>900</v>
      </c>
      <c r="H214" s="4" t="s">
        <v>901</v>
      </c>
      <c r="I214" s="4" t="s">
        <v>902</v>
      </c>
      <c r="J214" s="17">
        <v>10</v>
      </c>
      <c r="K214" s="14" t="s">
        <v>903</v>
      </c>
      <c r="L214" s="14">
        <v>974174800</v>
      </c>
      <c r="M214" s="28"/>
    </row>
    <row r="215" spans="1:13" s="35" customFormat="1" ht="15.75" customHeight="1" x14ac:dyDescent="0.25">
      <c r="A215" s="12">
        <v>210</v>
      </c>
      <c r="B215" s="29" t="s">
        <v>898</v>
      </c>
      <c r="C215" s="87" t="s">
        <v>83</v>
      </c>
      <c r="D215" s="30" t="s">
        <v>75</v>
      </c>
      <c r="E215" s="30" t="s">
        <v>33</v>
      </c>
      <c r="F215" s="30"/>
      <c r="G215" s="30"/>
      <c r="H215" s="30"/>
      <c r="I215" s="30"/>
      <c r="J215" s="31"/>
      <c r="K215" s="32"/>
      <c r="L215" s="31"/>
      <c r="M215" s="83"/>
    </row>
    <row r="216" spans="1:13" ht="15.75" customHeight="1" x14ac:dyDescent="0.25">
      <c r="A216" s="12">
        <v>211</v>
      </c>
      <c r="B216" s="3" t="s">
        <v>898</v>
      </c>
      <c r="C216" s="9" t="s">
        <v>904</v>
      </c>
      <c r="D216" s="9"/>
      <c r="E216" s="9" t="s">
        <v>40</v>
      </c>
      <c r="F216" s="9" t="s">
        <v>34</v>
      </c>
      <c r="G216" s="9" t="s">
        <v>284</v>
      </c>
      <c r="H216" s="9" t="s">
        <v>905</v>
      </c>
      <c r="I216" s="9" t="s">
        <v>906</v>
      </c>
      <c r="J216" s="15">
        <v>245</v>
      </c>
      <c r="K216" s="15" t="s">
        <v>907</v>
      </c>
      <c r="L216" s="15" t="s">
        <v>908</v>
      </c>
      <c r="M216" s="28"/>
    </row>
    <row r="217" spans="1:13" ht="15.75" customHeight="1" x14ac:dyDescent="0.25">
      <c r="A217" s="12">
        <v>212</v>
      </c>
      <c r="B217" s="3" t="s">
        <v>898</v>
      </c>
      <c r="C217" s="9" t="s">
        <v>909</v>
      </c>
      <c r="D217" s="9"/>
      <c r="E217" s="9" t="s">
        <v>47</v>
      </c>
      <c r="F217" s="9" t="s">
        <v>34</v>
      </c>
      <c r="G217" s="9" t="s">
        <v>284</v>
      </c>
      <c r="H217" s="9" t="s">
        <v>910</v>
      </c>
      <c r="I217" s="9" t="s">
        <v>905</v>
      </c>
      <c r="J217" s="15">
        <v>146</v>
      </c>
      <c r="K217" s="21">
        <v>32000</v>
      </c>
      <c r="L217" s="15" t="s">
        <v>911</v>
      </c>
      <c r="M217" s="28"/>
    </row>
    <row r="218" spans="1:13" ht="15.75" customHeight="1" x14ac:dyDescent="0.25">
      <c r="A218" s="12">
        <v>213</v>
      </c>
      <c r="B218" s="3" t="s">
        <v>912</v>
      </c>
      <c r="C218" s="4" t="s">
        <v>913</v>
      </c>
      <c r="D218" s="4"/>
      <c r="E218" s="2" t="s">
        <v>25</v>
      </c>
      <c r="F218" s="4" t="s">
        <v>26</v>
      </c>
      <c r="G218" s="4" t="s">
        <v>914</v>
      </c>
      <c r="H218" s="4" t="s">
        <v>915</v>
      </c>
      <c r="I218" s="4" t="s">
        <v>916</v>
      </c>
      <c r="J218" s="17">
        <v>13</v>
      </c>
      <c r="K218" s="14" t="s">
        <v>442</v>
      </c>
      <c r="L218" s="14">
        <v>907767667</v>
      </c>
      <c r="M218" s="28"/>
    </row>
    <row r="219" spans="1:13" ht="15.75" customHeight="1" x14ac:dyDescent="0.25">
      <c r="A219" s="12">
        <v>214</v>
      </c>
      <c r="B219" s="3" t="s">
        <v>912</v>
      </c>
      <c r="C219" s="9" t="s">
        <v>917</v>
      </c>
      <c r="D219" s="9"/>
      <c r="E219" s="9" t="s">
        <v>33</v>
      </c>
      <c r="F219" s="9" t="s">
        <v>34</v>
      </c>
      <c r="G219" s="9" t="s">
        <v>918</v>
      </c>
      <c r="H219" s="9" t="s">
        <v>325</v>
      </c>
      <c r="I219" s="9" t="s">
        <v>884</v>
      </c>
      <c r="J219" s="15">
        <v>100</v>
      </c>
      <c r="K219" s="15" t="s">
        <v>919</v>
      </c>
      <c r="L219" s="15" t="s">
        <v>920</v>
      </c>
      <c r="M219" s="28"/>
    </row>
    <row r="220" spans="1:13" ht="15.75" customHeight="1" x14ac:dyDescent="0.25">
      <c r="A220" s="12">
        <v>215</v>
      </c>
      <c r="B220" s="3" t="s">
        <v>912</v>
      </c>
      <c r="C220" s="9" t="s">
        <v>921</v>
      </c>
      <c r="D220" s="9"/>
      <c r="E220" s="9" t="s">
        <v>40</v>
      </c>
      <c r="F220" s="9" t="s">
        <v>34</v>
      </c>
      <c r="G220" s="9" t="s">
        <v>918</v>
      </c>
      <c r="H220" s="9" t="s">
        <v>922</v>
      </c>
      <c r="I220" s="9" t="s">
        <v>922</v>
      </c>
      <c r="J220" s="15">
        <v>2</v>
      </c>
      <c r="K220" s="21">
        <v>29754</v>
      </c>
      <c r="L220" s="15" t="s">
        <v>923</v>
      </c>
      <c r="M220" s="28"/>
    </row>
    <row r="221" spans="1:13" ht="15.75" customHeight="1" x14ac:dyDescent="0.25">
      <c r="A221" s="12">
        <v>216</v>
      </c>
      <c r="B221" s="3" t="s">
        <v>912</v>
      </c>
      <c r="C221" s="9" t="s">
        <v>924</v>
      </c>
      <c r="D221" s="9"/>
      <c r="E221" s="9" t="s">
        <v>47</v>
      </c>
      <c r="F221" s="9" t="s">
        <v>34</v>
      </c>
      <c r="G221" s="9" t="s">
        <v>918</v>
      </c>
      <c r="H221" s="9" t="s">
        <v>325</v>
      </c>
      <c r="I221" s="9" t="s">
        <v>744</v>
      </c>
      <c r="J221" s="15" t="s">
        <v>925</v>
      </c>
      <c r="K221" s="21">
        <v>23469</v>
      </c>
      <c r="L221" s="15" t="s">
        <v>926</v>
      </c>
      <c r="M221" s="28"/>
    </row>
    <row r="222" spans="1:13" ht="15.75" customHeight="1" x14ac:dyDescent="0.25">
      <c r="A222" s="12">
        <v>217</v>
      </c>
      <c r="B222" s="3" t="s">
        <v>927</v>
      </c>
      <c r="C222" s="2" t="s">
        <v>928</v>
      </c>
      <c r="D222" s="2"/>
      <c r="E222" s="2" t="s">
        <v>25</v>
      </c>
      <c r="F222" s="4" t="s">
        <v>26</v>
      </c>
      <c r="G222" s="4" t="s">
        <v>929</v>
      </c>
      <c r="H222" s="2" t="s">
        <v>930</v>
      </c>
      <c r="I222" s="2" t="s">
        <v>930</v>
      </c>
      <c r="J222" s="14" t="s">
        <v>931</v>
      </c>
      <c r="K222" s="14" t="s">
        <v>932</v>
      </c>
      <c r="L222" s="14">
        <v>999144585</v>
      </c>
      <c r="M222" s="28"/>
    </row>
    <row r="223" spans="1:13" ht="15.75" customHeight="1" x14ac:dyDescent="0.25">
      <c r="A223" s="12">
        <v>218</v>
      </c>
      <c r="B223" s="3" t="s">
        <v>927</v>
      </c>
      <c r="C223" s="9" t="s">
        <v>933</v>
      </c>
      <c r="D223" s="9"/>
      <c r="E223" s="9" t="s">
        <v>33</v>
      </c>
      <c r="F223" s="9" t="s">
        <v>34</v>
      </c>
      <c r="G223" s="9" t="s">
        <v>918</v>
      </c>
      <c r="H223" s="9" t="s">
        <v>934</v>
      </c>
      <c r="I223" s="9" t="s">
        <v>935</v>
      </c>
      <c r="J223" s="15" t="s">
        <v>936</v>
      </c>
      <c r="K223" s="21">
        <v>31184</v>
      </c>
      <c r="L223" s="15" t="s">
        <v>937</v>
      </c>
      <c r="M223" s="28"/>
    </row>
    <row r="224" spans="1:13" ht="15.75" customHeight="1" x14ac:dyDescent="0.25">
      <c r="A224" s="12">
        <v>219</v>
      </c>
      <c r="B224" s="3" t="s">
        <v>927</v>
      </c>
      <c r="C224" s="9" t="s">
        <v>938</v>
      </c>
      <c r="D224" s="9"/>
      <c r="E224" s="9" t="s">
        <v>40</v>
      </c>
      <c r="F224" s="9" t="s">
        <v>34</v>
      </c>
      <c r="G224" s="9" t="s">
        <v>918</v>
      </c>
      <c r="H224" s="9" t="s">
        <v>934</v>
      </c>
      <c r="I224" s="9" t="s">
        <v>939</v>
      </c>
      <c r="J224" s="15" t="s">
        <v>252</v>
      </c>
      <c r="K224" s="21">
        <v>32072</v>
      </c>
      <c r="L224" s="15" t="s">
        <v>940</v>
      </c>
      <c r="M224" s="28"/>
    </row>
    <row r="225" spans="1:13" ht="15.75" customHeight="1" x14ac:dyDescent="0.25">
      <c r="A225" s="12">
        <v>220</v>
      </c>
      <c r="B225" s="3" t="s">
        <v>927</v>
      </c>
      <c r="C225" s="9" t="s">
        <v>941</v>
      </c>
      <c r="D225" s="9"/>
      <c r="E225" s="9" t="s">
        <v>47</v>
      </c>
      <c r="F225" s="9" t="s">
        <v>34</v>
      </c>
      <c r="G225" s="9" t="s">
        <v>918</v>
      </c>
      <c r="H225" s="9" t="s">
        <v>552</v>
      </c>
      <c r="I225" s="9" t="s">
        <v>942</v>
      </c>
      <c r="J225" s="15" t="s">
        <v>838</v>
      </c>
      <c r="K225" s="21">
        <v>31737</v>
      </c>
      <c r="L225" s="15" t="s">
        <v>943</v>
      </c>
      <c r="M225" s="28"/>
    </row>
    <row r="226" spans="1:13" ht="15.75" customHeight="1" x14ac:dyDescent="0.25">
      <c r="A226" s="12">
        <v>221</v>
      </c>
      <c r="B226" s="3" t="s">
        <v>944</v>
      </c>
      <c r="C226" s="4" t="s">
        <v>945</v>
      </c>
      <c r="D226" s="4"/>
      <c r="E226" s="2" t="s">
        <v>25</v>
      </c>
      <c r="F226" s="4" t="s">
        <v>26</v>
      </c>
      <c r="G226" s="4" t="s">
        <v>929</v>
      </c>
      <c r="H226" s="8" t="s">
        <v>946</v>
      </c>
      <c r="I226" s="8" t="s">
        <v>625</v>
      </c>
      <c r="J226" s="26">
        <v>71</v>
      </c>
      <c r="K226" s="14" t="s">
        <v>947</v>
      </c>
      <c r="L226" s="14">
        <v>912841717</v>
      </c>
      <c r="M226" s="28"/>
    </row>
    <row r="227" spans="1:13" ht="15.75" customHeight="1" x14ac:dyDescent="0.25">
      <c r="A227" s="12">
        <v>222</v>
      </c>
      <c r="B227" s="3" t="s">
        <v>944</v>
      </c>
      <c r="C227" s="9" t="s">
        <v>948</v>
      </c>
      <c r="D227" s="9"/>
      <c r="E227" s="9" t="s">
        <v>33</v>
      </c>
      <c r="F227" s="3" t="s">
        <v>34</v>
      </c>
      <c r="G227" s="9" t="s">
        <v>918</v>
      </c>
      <c r="H227" s="9" t="s">
        <v>949</v>
      </c>
      <c r="I227" s="9" t="s">
        <v>681</v>
      </c>
      <c r="J227" s="15">
        <v>27</v>
      </c>
      <c r="K227" s="21">
        <v>33968</v>
      </c>
      <c r="L227" s="15" t="s">
        <v>950</v>
      </c>
      <c r="M227" s="28"/>
    </row>
    <row r="228" spans="1:13" ht="15.75" customHeight="1" x14ac:dyDescent="0.25">
      <c r="A228" s="12">
        <v>223</v>
      </c>
      <c r="B228" s="3" t="s">
        <v>944</v>
      </c>
      <c r="C228" s="9" t="s">
        <v>951</v>
      </c>
      <c r="D228" s="9"/>
      <c r="E228" s="9" t="s">
        <v>40</v>
      </c>
      <c r="F228" s="3" t="s">
        <v>34</v>
      </c>
      <c r="G228" s="9" t="s">
        <v>918</v>
      </c>
      <c r="H228" s="9" t="s">
        <v>952</v>
      </c>
      <c r="I228" s="9" t="s">
        <v>953</v>
      </c>
      <c r="J228" s="15">
        <v>263</v>
      </c>
      <c r="K228" s="21">
        <v>33123</v>
      </c>
      <c r="L228" s="15" t="s">
        <v>954</v>
      </c>
      <c r="M228" s="28"/>
    </row>
    <row r="229" spans="1:13" ht="15.75" customHeight="1" x14ac:dyDescent="0.25">
      <c r="A229" s="12">
        <v>224</v>
      </c>
      <c r="B229" s="3" t="s">
        <v>944</v>
      </c>
      <c r="C229" s="9" t="s">
        <v>955</v>
      </c>
      <c r="D229" s="9"/>
      <c r="E229" s="9" t="s">
        <v>47</v>
      </c>
      <c r="F229" s="3" t="s">
        <v>34</v>
      </c>
      <c r="G229" s="9" t="s">
        <v>918</v>
      </c>
      <c r="H229" s="9" t="s">
        <v>956</v>
      </c>
      <c r="I229" s="9" t="s">
        <v>957</v>
      </c>
      <c r="J229" s="15">
        <v>18</v>
      </c>
      <c r="K229" s="21">
        <v>30945</v>
      </c>
      <c r="L229" s="15" t="s">
        <v>958</v>
      </c>
      <c r="M229" s="28"/>
    </row>
    <row r="230" spans="1:13" ht="15.75" customHeight="1" x14ac:dyDescent="0.25">
      <c r="A230" s="12">
        <v>225</v>
      </c>
      <c r="B230" s="3" t="s">
        <v>959</v>
      </c>
      <c r="C230" s="4" t="s">
        <v>960</v>
      </c>
      <c r="D230" s="4"/>
      <c r="E230" s="2" t="s">
        <v>25</v>
      </c>
      <c r="F230" s="4" t="s">
        <v>26</v>
      </c>
      <c r="G230" s="4" t="s">
        <v>929</v>
      </c>
      <c r="H230" s="4" t="s">
        <v>961</v>
      </c>
      <c r="I230" s="4" t="s">
        <v>962</v>
      </c>
      <c r="J230" s="17">
        <v>228</v>
      </c>
      <c r="K230" s="14" t="s">
        <v>963</v>
      </c>
      <c r="L230" s="14">
        <v>909050018</v>
      </c>
      <c r="M230" s="28"/>
    </row>
    <row r="231" spans="1:13" ht="15.75" customHeight="1" x14ac:dyDescent="0.25">
      <c r="A231" s="12">
        <v>226</v>
      </c>
      <c r="B231" s="3" t="s">
        <v>959</v>
      </c>
      <c r="C231" s="9" t="s">
        <v>964</v>
      </c>
      <c r="D231" s="9"/>
      <c r="E231" s="9" t="s">
        <v>33</v>
      </c>
      <c r="F231" s="9" t="s">
        <v>34</v>
      </c>
      <c r="G231" s="9" t="s">
        <v>965</v>
      </c>
      <c r="H231" s="9" t="s">
        <v>966</v>
      </c>
      <c r="I231" s="9" t="s">
        <v>967</v>
      </c>
      <c r="J231" s="15" t="s">
        <v>644</v>
      </c>
      <c r="K231" s="21">
        <v>32645</v>
      </c>
      <c r="L231" s="15" t="s">
        <v>968</v>
      </c>
      <c r="M231" s="28"/>
    </row>
    <row r="232" spans="1:13" s="35" customFormat="1" ht="15.75" customHeight="1" x14ac:dyDescent="0.25">
      <c r="A232" s="12">
        <v>227</v>
      </c>
      <c r="B232" s="29" t="s">
        <v>959</v>
      </c>
      <c r="C232" s="87" t="s">
        <v>969</v>
      </c>
      <c r="D232" s="30" t="s">
        <v>85</v>
      </c>
      <c r="E232" s="30" t="s">
        <v>40</v>
      </c>
      <c r="F232" s="30" t="s">
        <v>34</v>
      </c>
      <c r="G232" s="30" t="s">
        <v>965</v>
      </c>
      <c r="H232" s="30" t="s">
        <v>970</v>
      </c>
      <c r="I232" s="30" t="s">
        <v>971</v>
      </c>
      <c r="J232" s="31" t="s">
        <v>972</v>
      </c>
      <c r="K232" s="63"/>
      <c r="L232" s="59"/>
      <c r="M232" s="83"/>
    </row>
    <row r="233" spans="1:13" s="35" customFormat="1" ht="15.75" customHeight="1" x14ac:dyDescent="0.25">
      <c r="A233" s="12">
        <v>228</v>
      </c>
      <c r="B233" s="29" t="s">
        <v>959</v>
      </c>
      <c r="C233" s="87" t="s">
        <v>973</v>
      </c>
      <c r="D233" s="30" t="s">
        <v>85</v>
      </c>
      <c r="E233" s="30" t="s">
        <v>47</v>
      </c>
      <c r="F233" s="30" t="s">
        <v>34</v>
      </c>
      <c r="G233" s="30" t="s">
        <v>965</v>
      </c>
      <c r="H233" s="30" t="s">
        <v>359</v>
      </c>
      <c r="I233" s="30" t="s">
        <v>974</v>
      </c>
      <c r="J233" s="31" t="s">
        <v>719</v>
      </c>
      <c r="K233" s="63"/>
      <c r="L233" s="59"/>
      <c r="M233" s="83"/>
    </row>
    <row r="234" spans="1:13" ht="15.75" customHeight="1" x14ac:dyDescent="0.25">
      <c r="A234" s="12">
        <v>229</v>
      </c>
      <c r="B234" s="3" t="s">
        <v>975</v>
      </c>
      <c r="C234" s="4" t="s">
        <v>976</v>
      </c>
      <c r="D234" s="4"/>
      <c r="E234" s="2" t="s">
        <v>25</v>
      </c>
      <c r="F234" s="4" t="s">
        <v>26</v>
      </c>
      <c r="G234" s="4" t="s">
        <v>273</v>
      </c>
      <c r="H234" s="4" t="s">
        <v>790</v>
      </c>
      <c r="I234" s="4" t="s">
        <v>977</v>
      </c>
      <c r="J234" s="17">
        <v>39</v>
      </c>
      <c r="K234" s="14" t="s">
        <v>978</v>
      </c>
      <c r="L234" s="14">
        <v>905857750</v>
      </c>
      <c r="M234" s="28"/>
    </row>
    <row r="235" spans="1:13" ht="15.75" customHeight="1" x14ac:dyDescent="0.25">
      <c r="A235" s="12">
        <v>230</v>
      </c>
      <c r="B235" s="3" t="s">
        <v>975</v>
      </c>
      <c r="C235" s="9" t="s">
        <v>979</v>
      </c>
      <c r="D235" s="9"/>
      <c r="E235" s="9" t="s">
        <v>33</v>
      </c>
      <c r="F235" s="3" t="s">
        <v>34</v>
      </c>
      <c r="G235" s="9" t="s">
        <v>284</v>
      </c>
      <c r="H235" s="9" t="s">
        <v>572</v>
      </c>
      <c r="I235" s="9" t="s">
        <v>770</v>
      </c>
      <c r="J235" s="15" t="s">
        <v>980</v>
      </c>
      <c r="K235" s="21">
        <v>24930</v>
      </c>
      <c r="L235" s="15" t="s">
        <v>981</v>
      </c>
      <c r="M235" s="28"/>
    </row>
    <row r="236" spans="1:13" ht="15.75" customHeight="1" x14ac:dyDescent="0.25">
      <c r="A236" s="12">
        <v>231</v>
      </c>
      <c r="B236" s="3" t="s">
        <v>975</v>
      </c>
      <c r="C236" s="9" t="s">
        <v>982</v>
      </c>
      <c r="D236" s="9"/>
      <c r="E236" s="9" t="s">
        <v>40</v>
      </c>
      <c r="F236" s="3" t="s">
        <v>34</v>
      </c>
      <c r="G236" s="9" t="s">
        <v>918</v>
      </c>
      <c r="H236" s="9" t="s">
        <v>949</v>
      </c>
      <c r="I236" s="9" t="s">
        <v>953</v>
      </c>
      <c r="J236" s="15" t="s">
        <v>983</v>
      </c>
      <c r="K236" s="21">
        <v>25108</v>
      </c>
      <c r="L236" s="15" t="s">
        <v>984</v>
      </c>
      <c r="M236" s="28"/>
    </row>
    <row r="237" spans="1:13" ht="15.75" customHeight="1" x14ac:dyDescent="0.25">
      <c r="A237" s="12">
        <v>232</v>
      </c>
      <c r="B237" s="3" t="s">
        <v>975</v>
      </c>
      <c r="C237" s="9" t="s">
        <v>985</v>
      </c>
      <c r="D237" s="9"/>
      <c r="E237" s="9" t="s">
        <v>47</v>
      </c>
      <c r="F237" s="3" t="s">
        <v>34</v>
      </c>
      <c r="G237" s="9" t="s">
        <v>503</v>
      </c>
      <c r="H237" s="9" t="s">
        <v>427</v>
      </c>
      <c r="I237" s="9" t="s">
        <v>986</v>
      </c>
      <c r="J237" s="15" t="s">
        <v>719</v>
      </c>
      <c r="K237" s="21">
        <v>44938</v>
      </c>
      <c r="L237" s="15" t="s">
        <v>987</v>
      </c>
      <c r="M237" s="28"/>
    </row>
    <row r="238" spans="1:13" ht="15.75" customHeight="1" x14ac:dyDescent="0.25">
      <c r="A238" s="12">
        <v>233</v>
      </c>
      <c r="B238" s="3" t="s">
        <v>988</v>
      </c>
      <c r="C238" s="4" t="s">
        <v>989</v>
      </c>
      <c r="D238" s="4"/>
      <c r="E238" s="2" t="s">
        <v>25</v>
      </c>
      <c r="F238" s="4" t="s">
        <v>26</v>
      </c>
      <c r="G238" s="4" t="s">
        <v>687</v>
      </c>
      <c r="H238" s="4" t="s">
        <v>990</v>
      </c>
      <c r="I238" s="4" t="s">
        <v>990</v>
      </c>
      <c r="J238" s="17">
        <v>2</v>
      </c>
      <c r="K238" s="14" t="s">
        <v>991</v>
      </c>
      <c r="L238" s="14">
        <v>996313322</v>
      </c>
      <c r="M238" s="28"/>
    </row>
    <row r="239" spans="1:13" ht="15.75" customHeight="1" x14ac:dyDescent="0.25">
      <c r="A239" s="12">
        <v>234</v>
      </c>
      <c r="B239" s="3" t="s">
        <v>988</v>
      </c>
      <c r="C239" s="9" t="s">
        <v>992</v>
      </c>
      <c r="D239" s="9"/>
      <c r="E239" s="9" t="s">
        <v>33</v>
      </c>
      <c r="F239" s="9" t="s">
        <v>34</v>
      </c>
      <c r="G239" s="9" t="s">
        <v>284</v>
      </c>
      <c r="H239" s="9" t="s">
        <v>531</v>
      </c>
      <c r="I239" s="9" t="s">
        <v>532</v>
      </c>
      <c r="J239" s="15">
        <v>220</v>
      </c>
      <c r="K239" s="15" t="s">
        <v>993</v>
      </c>
      <c r="L239" s="15" t="s">
        <v>994</v>
      </c>
      <c r="M239" s="28"/>
    </row>
    <row r="240" spans="1:13" ht="15.75" customHeight="1" x14ac:dyDescent="0.25">
      <c r="A240" s="12">
        <v>235</v>
      </c>
      <c r="B240" s="3" t="s">
        <v>988</v>
      </c>
      <c r="C240" s="9" t="s">
        <v>995</v>
      </c>
      <c r="D240" s="9"/>
      <c r="E240" s="9" t="s">
        <v>40</v>
      </c>
      <c r="F240" s="9" t="s">
        <v>34</v>
      </c>
      <c r="G240" s="9" t="s">
        <v>245</v>
      </c>
      <c r="H240" s="9" t="s">
        <v>996</v>
      </c>
      <c r="I240" s="9" t="s">
        <v>997</v>
      </c>
      <c r="J240" s="15">
        <v>11</v>
      </c>
      <c r="K240" s="15" t="s">
        <v>998</v>
      </c>
      <c r="L240" s="15" t="s">
        <v>999</v>
      </c>
      <c r="M240" s="28"/>
    </row>
    <row r="241" spans="1:13" ht="15.75" customHeight="1" x14ac:dyDescent="0.25">
      <c r="A241" s="12">
        <v>236</v>
      </c>
      <c r="B241" s="3" t="s">
        <v>988</v>
      </c>
      <c r="C241" s="9" t="s">
        <v>1000</v>
      </c>
      <c r="D241" s="9"/>
      <c r="E241" s="9" t="s">
        <v>47</v>
      </c>
      <c r="F241" s="9" t="s">
        <v>34</v>
      </c>
      <c r="G241" s="9" t="s">
        <v>284</v>
      </c>
      <c r="H241" s="9" t="s">
        <v>531</v>
      </c>
      <c r="I241" s="9" t="s">
        <v>532</v>
      </c>
      <c r="J241" s="15">
        <v>8</v>
      </c>
      <c r="K241" s="15" t="s">
        <v>1001</v>
      </c>
      <c r="L241" s="15" t="s">
        <v>1002</v>
      </c>
      <c r="M241" s="28"/>
    </row>
    <row r="242" spans="1:13" ht="15.75" customHeight="1" x14ac:dyDescent="0.25">
      <c r="A242" s="12">
        <v>237</v>
      </c>
      <c r="B242" s="3" t="s">
        <v>1003</v>
      </c>
      <c r="C242" s="4" t="s">
        <v>1004</v>
      </c>
      <c r="D242" s="4"/>
      <c r="E242" s="2" t="s">
        <v>25</v>
      </c>
      <c r="F242" s="4" t="s">
        <v>26</v>
      </c>
      <c r="G242" s="4" t="s">
        <v>1005</v>
      </c>
      <c r="H242" s="4" t="s">
        <v>1006</v>
      </c>
      <c r="I242" s="4" t="s">
        <v>1007</v>
      </c>
      <c r="J242" s="17" t="s">
        <v>1008</v>
      </c>
      <c r="K242" s="14" t="s">
        <v>1009</v>
      </c>
      <c r="L242" s="14">
        <v>912767777</v>
      </c>
      <c r="M242" s="28"/>
    </row>
    <row r="243" spans="1:13" ht="15.75" customHeight="1" x14ac:dyDescent="0.25">
      <c r="A243" s="12">
        <v>238</v>
      </c>
      <c r="B243" s="3" t="s">
        <v>1003</v>
      </c>
      <c r="C243" s="9" t="s">
        <v>1010</v>
      </c>
      <c r="D243" s="9"/>
      <c r="E243" s="9" t="s">
        <v>33</v>
      </c>
      <c r="F243" s="9" t="s">
        <v>34</v>
      </c>
      <c r="G243" s="9" t="s">
        <v>245</v>
      </c>
      <c r="H243" s="9" t="s">
        <v>642</v>
      </c>
      <c r="I243" s="9" t="s">
        <v>1011</v>
      </c>
      <c r="J243" s="15" t="s">
        <v>1012</v>
      </c>
      <c r="K243" s="21">
        <v>30731</v>
      </c>
      <c r="L243" s="15" t="s">
        <v>1013</v>
      </c>
      <c r="M243" s="28"/>
    </row>
    <row r="244" spans="1:13" ht="15.75" customHeight="1" x14ac:dyDescent="0.25">
      <c r="A244" s="12">
        <v>239</v>
      </c>
      <c r="B244" s="3" t="s">
        <v>1003</v>
      </c>
      <c r="C244" s="9" t="s">
        <v>1014</v>
      </c>
      <c r="D244" s="9"/>
      <c r="E244" s="9" t="s">
        <v>40</v>
      </c>
      <c r="F244" s="9" t="s">
        <v>34</v>
      </c>
      <c r="G244" s="9" t="s">
        <v>284</v>
      </c>
      <c r="H244" s="9" t="s">
        <v>572</v>
      </c>
      <c r="I244" s="9" t="s">
        <v>770</v>
      </c>
      <c r="J244" s="15" t="s">
        <v>1015</v>
      </c>
      <c r="K244" s="15" t="s">
        <v>1016</v>
      </c>
      <c r="L244" s="15" t="s">
        <v>1017</v>
      </c>
      <c r="M244" s="28"/>
    </row>
    <row r="245" spans="1:13" s="35" customFormat="1" ht="15.75" customHeight="1" x14ac:dyDescent="0.25">
      <c r="A245" s="12">
        <v>240</v>
      </c>
      <c r="B245" s="29" t="s">
        <v>1003</v>
      </c>
      <c r="C245" s="87" t="s">
        <v>1018</v>
      </c>
      <c r="D245" s="30" t="s">
        <v>85</v>
      </c>
      <c r="E245" s="30" t="s">
        <v>47</v>
      </c>
      <c r="F245" s="30" t="s">
        <v>34</v>
      </c>
      <c r="G245" s="30" t="s">
        <v>284</v>
      </c>
      <c r="H245" s="30" t="s">
        <v>1019</v>
      </c>
      <c r="I245" s="30" t="s">
        <v>26</v>
      </c>
      <c r="J245" s="31" t="s">
        <v>1020</v>
      </c>
      <c r="K245" s="32">
        <v>31492</v>
      </c>
      <c r="L245" s="31" t="s">
        <v>1021</v>
      </c>
      <c r="M245" s="83"/>
    </row>
    <row r="246" spans="1:13" ht="15.75" customHeight="1" x14ac:dyDescent="0.25">
      <c r="A246" s="12">
        <v>241</v>
      </c>
      <c r="B246" s="3" t="s">
        <v>1022</v>
      </c>
      <c r="C246" s="4" t="s">
        <v>1023</v>
      </c>
      <c r="D246" s="4"/>
      <c r="E246" s="2" t="s">
        <v>25</v>
      </c>
      <c r="F246" s="4" t="s">
        <v>26</v>
      </c>
      <c r="G246" s="9" t="s">
        <v>284</v>
      </c>
      <c r="H246" s="4" t="s">
        <v>744</v>
      </c>
      <c r="I246" s="4" t="s">
        <v>598</v>
      </c>
      <c r="J246" s="17">
        <v>75</v>
      </c>
      <c r="K246" s="14" t="s">
        <v>1024</v>
      </c>
      <c r="L246" s="14">
        <v>958618182</v>
      </c>
      <c r="M246" s="28"/>
    </row>
    <row r="247" spans="1:13" ht="15.75" customHeight="1" x14ac:dyDescent="0.25">
      <c r="A247" s="12">
        <v>242</v>
      </c>
      <c r="B247" s="3" t="s">
        <v>1022</v>
      </c>
      <c r="C247" s="9" t="s">
        <v>1025</v>
      </c>
      <c r="D247" s="9"/>
      <c r="E247" s="9" t="s">
        <v>33</v>
      </c>
      <c r="F247" s="9" t="s">
        <v>34</v>
      </c>
      <c r="G247" s="9" t="s">
        <v>284</v>
      </c>
      <c r="H247" s="9" t="s">
        <v>126</v>
      </c>
      <c r="I247" s="9" t="s">
        <v>497</v>
      </c>
      <c r="J247" s="15">
        <v>55</v>
      </c>
      <c r="K247" s="21">
        <v>30283</v>
      </c>
      <c r="L247" s="15" t="s">
        <v>1026</v>
      </c>
      <c r="M247" s="28"/>
    </row>
    <row r="248" spans="1:13" ht="15.75" customHeight="1" x14ac:dyDescent="0.25">
      <c r="A248" s="12">
        <v>243</v>
      </c>
      <c r="B248" s="3" t="s">
        <v>1022</v>
      </c>
      <c r="C248" s="11" t="s">
        <v>1027</v>
      </c>
      <c r="D248" s="11"/>
      <c r="E248" s="9" t="s">
        <v>40</v>
      </c>
      <c r="F248" s="9" t="s">
        <v>34</v>
      </c>
      <c r="G248" s="9" t="s">
        <v>284</v>
      </c>
      <c r="H248" s="9" t="s">
        <v>458</v>
      </c>
      <c r="I248" s="9" t="s">
        <v>1028</v>
      </c>
      <c r="J248" s="15">
        <v>339</v>
      </c>
      <c r="K248" s="21">
        <v>31254</v>
      </c>
      <c r="L248" s="15" t="s">
        <v>1029</v>
      </c>
      <c r="M248" s="28"/>
    </row>
    <row r="249" spans="1:13" ht="15.75" customHeight="1" x14ac:dyDescent="0.25">
      <c r="A249" s="12">
        <v>244</v>
      </c>
      <c r="B249" s="3" t="s">
        <v>1022</v>
      </c>
      <c r="C249" s="88" t="s">
        <v>1030</v>
      </c>
      <c r="D249" s="9"/>
      <c r="E249" s="9" t="s">
        <v>47</v>
      </c>
      <c r="F249" s="9" t="s">
        <v>34</v>
      </c>
      <c r="G249" s="9" t="s">
        <v>245</v>
      </c>
      <c r="H249" s="9" t="s">
        <v>1031</v>
      </c>
      <c r="I249" s="9" t="s">
        <v>86</v>
      </c>
      <c r="J249" s="15" t="s">
        <v>1032</v>
      </c>
      <c r="K249" s="21">
        <v>30855</v>
      </c>
      <c r="L249" s="15" t="s">
        <v>1033</v>
      </c>
      <c r="M249" s="28"/>
    </row>
    <row r="250" spans="1:13" ht="15.75" customHeight="1" x14ac:dyDescent="0.25">
      <c r="A250" s="12">
        <v>245</v>
      </c>
      <c r="B250" s="3" t="s">
        <v>1034</v>
      </c>
      <c r="C250" s="4" t="s">
        <v>1035</v>
      </c>
      <c r="D250" s="4"/>
      <c r="E250" s="2" t="s">
        <v>25</v>
      </c>
      <c r="F250" s="4" t="s">
        <v>26</v>
      </c>
      <c r="G250" s="5" t="s">
        <v>635</v>
      </c>
      <c r="H250" s="4" t="s">
        <v>1036</v>
      </c>
      <c r="I250" s="4" t="s">
        <v>1037</v>
      </c>
      <c r="J250" s="17">
        <v>48</v>
      </c>
      <c r="K250" s="14" t="s">
        <v>1038</v>
      </c>
      <c r="L250" s="14">
        <v>918449564</v>
      </c>
      <c r="M250" s="28"/>
    </row>
    <row r="251" spans="1:13" ht="15.75" customHeight="1" x14ac:dyDescent="0.25">
      <c r="A251" s="12">
        <v>246</v>
      </c>
      <c r="B251" s="3" t="s">
        <v>1034</v>
      </c>
      <c r="C251" s="9" t="s">
        <v>1039</v>
      </c>
      <c r="D251" s="9"/>
      <c r="E251" s="9" t="s">
        <v>33</v>
      </c>
      <c r="F251" s="9" t="s">
        <v>34</v>
      </c>
      <c r="G251" s="9" t="s">
        <v>35</v>
      </c>
      <c r="H251" s="9" t="s">
        <v>1040</v>
      </c>
      <c r="I251" s="9" t="s">
        <v>1041</v>
      </c>
      <c r="J251" s="15" t="s">
        <v>1042</v>
      </c>
      <c r="K251" s="21">
        <v>36037</v>
      </c>
      <c r="L251" s="15" t="s">
        <v>1043</v>
      </c>
      <c r="M251" s="28"/>
    </row>
    <row r="252" spans="1:13" ht="15.75" customHeight="1" x14ac:dyDescent="0.25">
      <c r="A252" s="12">
        <v>247</v>
      </c>
      <c r="B252" s="3" t="s">
        <v>1034</v>
      </c>
      <c r="C252" s="9" t="s">
        <v>1044</v>
      </c>
      <c r="D252" s="9"/>
      <c r="E252" s="9" t="s">
        <v>40</v>
      </c>
      <c r="F252" s="9" t="s">
        <v>34</v>
      </c>
      <c r="G252" s="9" t="s">
        <v>1045</v>
      </c>
      <c r="H252" s="9" t="s">
        <v>1046</v>
      </c>
      <c r="I252" s="9" t="s">
        <v>1047</v>
      </c>
      <c r="J252" s="15" t="s">
        <v>1048</v>
      </c>
      <c r="K252" s="21">
        <v>25376</v>
      </c>
      <c r="L252" s="15" t="s">
        <v>1049</v>
      </c>
      <c r="M252" s="28"/>
    </row>
    <row r="253" spans="1:13" ht="15.75" customHeight="1" x14ac:dyDescent="0.25">
      <c r="A253" s="12">
        <v>248</v>
      </c>
      <c r="B253" s="3" t="s">
        <v>1034</v>
      </c>
      <c r="C253" s="9" t="s">
        <v>1050</v>
      </c>
      <c r="D253" s="9"/>
      <c r="E253" s="9" t="s">
        <v>47</v>
      </c>
      <c r="F253" s="9" t="s">
        <v>34</v>
      </c>
      <c r="G253" s="9" t="s">
        <v>41</v>
      </c>
      <c r="H253" s="9" t="s">
        <v>1051</v>
      </c>
      <c r="I253" s="9" t="s">
        <v>881</v>
      </c>
      <c r="J253" s="15" t="s">
        <v>1052</v>
      </c>
      <c r="K253" s="21">
        <v>25054</v>
      </c>
      <c r="L253" s="15" t="s">
        <v>1053</v>
      </c>
      <c r="M253" s="28"/>
    </row>
    <row r="254" spans="1:13" ht="15.75" customHeight="1" x14ac:dyDescent="0.25">
      <c r="A254" s="12">
        <v>249</v>
      </c>
      <c r="B254" s="3" t="s">
        <v>1054</v>
      </c>
      <c r="C254" s="4" t="s">
        <v>1055</v>
      </c>
      <c r="D254" s="4"/>
      <c r="E254" s="2" t="s">
        <v>25</v>
      </c>
      <c r="F254" s="4" t="s">
        <v>26</v>
      </c>
      <c r="G254" s="9" t="s">
        <v>284</v>
      </c>
      <c r="H254" s="4" t="s">
        <v>1056</v>
      </c>
      <c r="I254" s="4" t="s">
        <v>386</v>
      </c>
      <c r="J254" s="14" t="s">
        <v>1057</v>
      </c>
      <c r="K254" s="14" t="s">
        <v>1058</v>
      </c>
      <c r="L254" s="14">
        <v>996000123</v>
      </c>
      <c r="M254" s="28"/>
    </row>
    <row r="255" spans="1:13" s="35" customFormat="1" ht="15.75" customHeight="1" x14ac:dyDescent="0.25">
      <c r="A255" s="12">
        <v>250</v>
      </c>
      <c r="B255" s="29" t="s">
        <v>1054</v>
      </c>
      <c r="C255" s="87" t="s">
        <v>1059</v>
      </c>
      <c r="D255" s="30" t="s">
        <v>85</v>
      </c>
      <c r="E255" s="30" t="s">
        <v>33</v>
      </c>
      <c r="F255" s="38" t="s">
        <v>26</v>
      </c>
      <c r="G255" s="30" t="s">
        <v>284</v>
      </c>
      <c r="H255" s="30" t="s">
        <v>1060</v>
      </c>
      <c r="I255" s="30" t="s">
        <v>1061</v>
      </c>
      <c r="J255" s="31" t="s">
        <v>1062</v>
      </c>
      <c r="K255" s="58"/>
      <c r="L255" s="58"/>
      <c r="M255" s="83"/>
    </row>
    <row r="256" spans="1:13" s="35" customFormat="1" ht="15.75" customHeight="1" x14ac:dyDescent="0.25">
      <c r="A256" s="12">
        <v>251</v>
      </c>
      <c r="B256" s="29" t="s">
        <v>1054</v>
      </c>
      <c r="C256" s="87" t="s">
        <v>1063</v>
      </c>
      <c r="D256" s="30" t="s">
        <v>85</v>
      </c>
      <c r="E256" s="30" t="s">
        <v>40</v>
      </c>
      <c r="F256" s="38" t="s">
        <v>26</v>
      </c>
      <c r="G256" s="30" t="s">
        <v>284</v>
      </c>
      <c r="H256" s="30" t="s">
        <v>572</v>
      </c>
      <c r="I256" s="30" t="s">
        <v>572</v>
      </c>
      <c r="J256" s="31" t="s">
        <v>1064</v>
      </c>
      <c r="K256" s="58"/>
      <c r="L256" s="58"/>
      <c r="M256" s="83"/>
    </row>
    <row r="257" spans="1:13" s="35" customFormat="1" ht="15.75" customHeight="1" x14ac:dyDescent="0.25">
      <c r="A257" s="12">
        <v>252</v>
      </c>
      <c r="B257" s="29" t="s">
        <v>1054</v>
      </c>
      <c r="C257" s="30" t="s">
        <v>83</v>
      </c>
      <c r="D257" s="30" t="s">
        <v>75</v>
      </c>
      <c r="E257" s="30" t="s">
        <v>47</v>
      </c>
      <c r="F257" s="30"/>
      <c r="G257" s="30"/>
      <c r="H257" s="30"/>
      <c r="I257" s="30"/>
      <c r="J257" s="31"/>
      <c r="K257" s="39"/>
      <c r="L257" s="39"/>
      <c r="M257" s="83"/>
    </row>
    <row r="258" spans="1:13" ht="15.75" customHeight="1" x14ac:dyDescent="0.25">
      <c r="A258" s="12">
        <v>253</v>
      </c>
      <c r="B258" s="3" t="s">
        <v>1065</v>
      </c>
      <c r="C258" s="4" t="s">
        <v>1066</v>
      </c>
      <c r="D258" s="4"/>
      <c r="E258" s="2" t="s">
        <v>25</v>
      </c>
      <c r="F258" s="4" t="s">
        <v>26</v>
      </c>
      <c r="G258" s="4" t="s">
        <v>278</v>
      </c>
      <c r="H258" s="4" t="s">
        <v>1067</v>
      </c>
      <c r="I258" s="4" t="s">
        <v>1068</v>
      </c>
      <c r="J258" s="17">
        <v>42</v>
      </c>
      <c r="K258" s="14" t="s">
        <v>1069</v>
      </c>
      <c r="L258" s="14">
        <v>916545791</v>
      </c>
      <c r="M258" s="28"/>
    </row>
    <row r="259" spans="1:13" ht="15.75" customHeight="1" x14ac:dyDescent="0.25">
      <c r="A259" s="12">
        <v>254</v>
      </c>
      <c r="B259" s="3" t="s">
        <v>1065</v>
      </c>
      <c r="C259" s="9" t="s">
        <v>1070</v>
      </c>
      <c r="D259" s="9"/>
      <c r="E259" s="9" t="s">
        <v>33</v>
      </c>
      <c r="F259" s="9" t="s">
        <v>34</v>
      </c>
      <c r="G259" s="9" t="s">
        <v>537</v>
      </c>
      <c r="H259" s="9" t="s">
        <v>102</v>
      </c>
      <c r="I259" s="9" t="s">
        <v>1071</v>
      </c>
      <c r="J259" s="15" t="s">
        <v>1032</v>
      </c>
      <c r="K259" s="21">
        <v>32179</v>
      </c>
      <c r="L259" s="15" t="s">
        <v>1072</v>
      </c>
      <c r="M259" s="28"/>
    </row>
    <row r="260" spans="1:13" ht="15.75" customHeight="1" x14ac:dyDescent="0.25">
      <c r="A260" s="12">
        <v>255</v>
      </c>
      <c r="B260" s="3" t="s">
        <v>1065</v>
      </c>
      <c r="C260" s="9" t="s">
        <v>1073</v>
      </c>
      <c r="D260" s="9"/>
      <c r="E260" s="9" t="s">
        <v>40</v>
      </c>
      <c r="F260" s="9" t="s">
        <v>34</v>
      </c>
      <c r="G260" s="9" t="s">
        <v>284</v>
      </c>
      <c r="H260" s="9" t="s">
        <v>1019</v>
      </c>
      <c r="I260" s="9" t="s">
        <v>34</v>
      </c>
      <c r="J260" s="15" t="s">
        <v>838</v>
      </c>
      <c r="K260" s="21">
        <v>30946</v>
      </c>
      <c r="L260" s="15" t="s">
        <v>1074</v>
      </c>
      <c r="M260" s="28"/>
    </row>
    <row r="261" spans="1:13" ht="15.75" customHeight="1" x14ac:dyDescent="0.25">
      <c r="A261" s="12">
        <v>256</v>
      </c>
      <c r="B261" s="3" t="s">
        <v>1065</v>
      </c>
      <c r="C261" s="9" t="s">
        <v>1075</v>
      </c>
      <c r="D261" s="9"/>
      <c r="E261" s="9" t="s">
        <v>47</v>
      </c>
      <c r="F261" s="9" t="s">
        <v>34</v>
      </c>
      <c r="G261" s="9" t="s">
        <v>284</v>
      </c>
      <c r="H261" s="9" t="s">
        <v>1076</v>
      </c>
      <c r="I261" s="9" t="s">
        <v>316</v>
      </c>
      <c r="J261" s="15" t="s">
        <v>1077</v>
      </c>
      <c r="K261" s="21">
        <v>31326</v>
      </c>
      <c r="L261" s="15" t="s">
        <v>1078</v>
      </c>
      <c r="M261" s="28"/>
    </row>
    <row r="262" spans="1:13" s="35" customFormat="1" ht="15.75" customHeight="1" x14ac:dyDescent="0.25">
      <c r="A262" s="12">
        <v>257</v>
      </c>
      <c r="B262" s="29" t="s">
        <v>1079</v>
      </c>
      <c r="C262" s="38" t="s">
        <v>1080</v>
      </c>
      <c r="D262" s="38" t="s">
        <v>75</v>
      </c>
      <c r="E262" s="42" t="s">
        <v>25</v>
      </c>
      <c r="F262" s="38" t="s">
        <v>26</v>
      </c>
      <c r="G262" s="38" t="s">
        <v>1005</v>
      </c>
      <c r="H262" s="38" t="s">
        <v>1081</v>
      </c>
      <c r="I262" s="38" t="s">
        <v>1082</v>
      </c>
      <c r="J262" s="43" t="s">
        <v>1083</v>
      </c>
      <c r="K262" s="44" t="s">
        <v>1084</v>
      </c>
      <c r="L262" s="44">
        <v>906477771</v>
      </c>
      <c r="M262" s="83"/>
    </row>
    <row r="263" spans="1:13" ht="15.75" customHeight="1" x14ac:dyDescent="0.25">
      <c r="A263" s="12">
        <v>258</v>
      </c>
      <c r="B263" s="3" t="s">
        <v>1079</v>
      </c>
      <c r="C263" s="3" t="s">
        <v>1085</v>
      </c>
      <c r="D263" s="3"/>
      <c r="E263" s="9" t="s">
        <v>33</v>
      </c>
      <c r="F263" s="3" t="s">
        <v>34</v>
      </c>
      <c r="G263" s="9" t="s">
        <v>284</v>
      </c>
      <c r="H263" s="9" t="s">
        <v>1081</v>
      </c>
      <c r="I263" s="9" t="s">
        <v>572</v>
      </c>
      <c r="J263" s="15" t="s">
        <v>1083</v>
      </c>
      <c r="K263" s="21">
        <v>31593</v>
      </c>
      <c r="L263" s="15" t="s">
        <v>1086</v>
      </c>
      <c r="M263" s="28"/>
    </row>
    <row r="264" spans="1:13" ht="15.75" customHeight="1" x14ac:dyDescent="0.25">
      <c r="A264" s="12">
        <v>259</v>
      </c>
      <c r="B264" s="3" t="s">
        <v>1079</v>
      </c>
      <c r="C264" s="9" t="s">
        <v>1087</v>
      </c>
      <c r="D264" s="9"/>
      <c r="E264" s="9" t="s">
        <v>40</v>
      </c>
      <c r="F264" s="3" t="s">
        <v>34</v>
      </c>
      <c r="G264" s="9" t="s">
        <v>284</v>
      </c>
      <c r="H264" s="9" t="s">
        <v>1088</v>
      </c>
      <c r="I264" s="9" t="s">
        <v>781</v>
      </c>
      <c r="J264" s="15" t="s">
        <v>1089</v>
      </c>
      <c r="K264" s="21">
        <v>36760</v>
      </c>
      <c r="L264" s="15" t="s">
        <v>1090</v>
      </c>
      <c r="M264" s="28"/>
    </row>
    <row r="265" spans="1:13" ht="15.75" customHeight="1" x14ac:dyDescent="0.25">
      <c r="A265" s="12">
        <v>260</v>
      </c>
      <c r="B265" s="3" t="s">
        <v>1079</v>
      </c>
      <c r="C265" s="88" t="s">
        <v>1091</v>
      </c>
      <c r="D265" s="9"/>
      <c r="E265" s="9" t="s">
        <v>47</v>
      </c>
      <c r="F265" s="3" t="s">
        <v>34</v>
      </c>
      <c r="G265" s="9" t="s">
        <v>284</v>
      </c>
      <c r="H265" s="3" t="s">
        <v>1092</v>
      </c>
      <c r="I265" s="3" t="s">
        <v>1092</v>
      </c>
      <c r="J265" s="15" t="s">
        <v>1093</v>
      </c>
      <c r="K265" s="21">
        <v>34562</v>
      </c>
      <c r="L265" s="15" t="s">
        <v>1094</v>
      </c>
      <c r="M265" s="28"/>
    </row>
    <row r="266" spans="1:13" ht="15.75" customHeight="1" x14ac:dyDescent="0.25">
      <c r="A266" s="12">
        <v>261</v>
      </c>
      <c r="B266" s="3" t="s">
        <v>1095</v>
      </c>
      <c r="C266" s="4" t="s">
        <v>1096</v>
      </c>
      <c r="D266" s="4"/>
      <c r="E266" s="2" t="s">
        <v>25</v>
      </c>
      <c r="F266" s="4" t="s">
        <v>26</v>
      </c>
      <c r="G266" s="4" t="s">
        <v>205</v>
      </c>
      <c r="H266" s="4" t="s">
        <v>1097</v>
      </c>
      <c r="I266" s="4" t="s">
        <v>1098</v>
      </c>
      <c r="J266" s="17">
        <v>15</v>
      </c>
      <c r="K266" s="14" t="s">
        <v>1099</v>
      </c>
      <c r="L266" s="14">
        <v>916962421</v>
      </c>
      <c r="M266" s="28"/>
    </row>
    <row r="267" spans="1:13" ht="15.75" customHeight="1" x14ac:dyDescent="0.25">
      <c r="A267" s="12">
        <v>262</v>
      </c>
      <c r="B267" s="3" t="s">
        <v>1095</v>
      </c>
      <c r="C267" s="9" t="s">
        <v>1100</v>
      </c>
      <c r="D267" s="9"/>
      <c r="E267" s="9" t="s">
        <v>33</v>
      </c>
      <c r="F267" s="3" t="s">
        <v>34</v>
      </c>
      <c r="G267" s="9" t="s">
        <v>205</v>
      </c>
      <c r="H267" s="9" t="s">
        <v>1101</v>
      </c>
      <c r="I267" s="9" t="s">
        <v>1102</v>
      </c>
      <c r="J267" s="15" t="s">
        <v>1103</v>
      </c>
      <c r="K267" s="21">
        <v>29197</v>
      </c>
      <c r="L267" s="15" t="s">
        <v>1104</v>
      </c>
      <c r="M267" s="28"/>
    </row>
    <row r="268" spans="1:13" ht="15.75" customHeight="1" x14ac:dyDescent="0.25">
      <c r="A268" s="12">
        <v>263</v>
      </c>
      <c r="B268" s="3" t="s">
        <v>1095</v>
      </c>
      <c r="C268" s="9" t="s">
        <v>1105</v>
      </c>
      <c r="D268" s="9"/>
      <c r="E268" s="9" t="s">
        <v>40</v>
      </c>
      <c r="F268" s="3" t="s">
        <v>34</v>
      </c>
      <c r="G268" s="9" t="s">
        <v>205</v>
      </c>
      <c r="H268" s="9" t="s">
        <v>1106</v>
      </c>
      <c r="I268" s="9" t="s">
        <v>744</v>
      </c>
      <c r="J268" s="15" t="s">
        <v>1107</v>
      </c>
      <c r="K268" s="21">
        <v>31043</v>
      </c>
      <c r="L268" s="15" t="s">
        <v>1108</v>
      </c>
      <c r="M268" s="28"/>
    </row>
    <row r="269" spans="1:13" s="35" customFormat="1" ht="15.75" customHeight="1" x14ac:dyDescent="0.25">
      <c r="A269" s="12">
        <v>264</v>
      </c>
      <c r="B269" s="29" t="s">
        <v>1095</v>
      </c>
      <c r="C269" s="87" t="s">
        <v>1109</v>
      </c>
      <c r="D269" s="30" t="s">
        <v>85</v>
      </c>
      <c r="E269" s="30" t="s">
        <v>47</v>
      </c>
      <c r="F269" s="29" t="s">
        <v>34</v>
      </c>
      <c r="G269" s="30" t="s">
        <v>205</v>
      </c>
      <c r="H269" s="30" t="s">
        <v>285</v>
      </c>
      <c r="I269" s="30" t="s">
        <v>1110</v>
      </c>
      <c r="J269" s="31" t="s">
        <v>1111</v>
      </c>
      <c r="K269" s="63"/>
      <c r="L269" s="59"/>
      <c r="M269" s="83"/>
    </row>
    <row r="270" spans="1:13" s="35" customFormat="1" ht="15.75" customHeight="1" x14ac:dyDescent="0.25">
      <c r="A270" s="12">
        <v>265</v>
      </c>
      <c r="B270" s="29" t="s">
        <v>1112</v>
      </c>
      <c r="C270" s="47" t="s">
        <v>1113</v>
      </c>
      <c r="D270" s="47" t="s">
        <v>75</v>
      </c>
      <c r="E270" s="42" t="s">
        <v>25</v>
      </c>
      <c r="F270" s="38" t="s">
        <v>26</v>
      </c>
      <c r="G270" s="47" t="s">
        <v>635</v>
      </c>
      <c r="H270" s="47" t="s">
        <v>1114</v>
      </c>
      <c r="I270" s="47" t="s">
        <v>1115</v>
      </c>
      <c r="J270" s="48">
        <v>32</v>
      </c>
      <c r="K270" s="49" t="s">
        <v>1116</v>
      </c>
      <c r="L270" s="49">
        <v>979664555</v>
      </c>
      <c r="M270" s="83"/>
    </row>
    <row r="271" spans="1:13" ht="15.75" customHeight="1" x14ac:dyDescent="0.25">
      <c r="A271" s="12">
        <v>266</v>
      </c>
      <c r="B271" s="3" t="s">
        <v>1112</v>
      </c>
      <c r="C271" s="9" t="s">
        <v>1117</v>
      </c>
      <c r="D271" s="9"/>
      <c r="E271" s="3" t="s">
        <v>33</v>
      </c>
      <c r="F271" s="9" t="s">
        <v>34</v>
      </c>
      <c r="G271" s="9" t="s">
        <v>503</v>
      </c>
      <c r="H271" s="9" t="s">
        <v>1118</v>
      </c>
      <c r="I271" s="9" t="s">
        <v>1119</v>
      </c>
      <c r="J271" s="15">
        <v>3</v>
      </c>
      <c r="K271" s="21">
        <v>27116</v>
      </c>
      <c r="L271" s="15" t="s">
        <v>1120</v>
      </c>
      <c r="M271" s="28"/>
    </row>
    <row r="272" spans="1:13" ht="15.75" customHeight="1" x14ac:dyDescent="0.25">
      <c r="A272" s="12">
        <v>267</v>
      </c>
      <c r="B272" s="3" t="s">
        <v>1112</v>
      </c>
      <c r="C272" s="9" t="s">
        <v>1121</v>
      </c>
      <c r="D272" s="9"/>
      <c r="E272" s="9" t="s">
        <v>40</v>
      </c>
      <c r="F272" s="9" t="s">
        <v>34</v>
      </c>
      <c r="G272" s="9" t="s">
        <v>284</v>
      </c>
      <c r="H272" s="9" t="s">
        <v>1122</v>
      </c>
      <c r="I272" s="9" t="s">
        <v>1123</v>
      </c>
      <c r="J272" s="15" t="s">
        <v>1124</v>
      </c>
      <c r="K272" s="21">
        <v>26519</v>
      </c>
      <c r="L272" s="15" t="s">
        <v>1125</v>
      </c>
      <c r="M272" s="28"/>
    </row>
    <row r="273" spans="1:13" ht="15.75" customHeight="1" x14ac:dyDescent="0.25">
      <c r="A273" s="12">
        <v>268</v>
      </c>
      <c r="B273" s="3" t="s">
        <v>1112</v>
      </c>
      <c r="C273" s="9" t="s">
        <v>1126</v>
      </c>
      <c r="D273" s="9"/>
      <c r="E273" s="9" t="s">
        <v>47</v>
      </c>
      <c r="F273" s="9" t="s">
        <v>34</v>
      </c>
      <c r="G273" s="9" t="s">
        <v>537</v>
      </c>
      <c r="H273" s="9" t="s">
        <v>1127</v>
      </c>
      <c r="I273" s="9" t="s">
        <v>1115</v>
      </c>
      <c r="J273" s="15">
        <v>32</v>
      </c>
      <c r="K273" s="21">
        <v>29732</v>
      </c>
      <c r="L273" s="15" t="s">
        <v>1128</v>
      </c>
      <c r="M273" s="28"/>
    </row>
  </sheetData>
  <autoFilter ref="A5:L273"/>
  <mergeCells count="10">
    <mergeCell ref="A1:L1"/>
    <mergeCell ref="E3:E4"/>
    <mergeCell ref="A3:A4"/>
    <mergeCell ref="C3:C4"/>
    <mergeCell ref="D3:D4"/>
    <mergeCell ref="M3:M4"/>
    <mergeCell ref="F3:J3"/>
    <mergeCell ref="K3:K4"/>
    <mergeCell ref="L3:L4"/>
    <mergeCell ref="B3:B4"/>
  </mergeCells>
  <dataValidations count="1">
    <dataValidation type="list" allowBlank="1" showInputMessage="1" showErrorMessage="1" sqref="E7:E14 E16 E19:E37 E40:E41 E43:E45 E47:E69 E72:E197 E200:E202 E204:E214 E216:E217 E219:E229 E232:E241 E243:E253 E255:E270 F42 F218">
      <formula1>#REF!</formula1>
    </dataValidation>
  </dataValidations>
  <pageMargins left="0.43" right="0.2" top="0.31" bottom="0.2" header="0.3" footer="0.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Svod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Boshqarma</dc:creator>
  <cp:lastModifiedBy>PRO-TEC</cp:lastModifiedBy>
  <cp:lastPrinted>2026-08-06T15:29:36Z</cp:lastPrinted>
  <dcterms:created xsi:type="dcterms:W3CDTF">2026-04-16T05:17:10Z</dcterms:created>
  <dcterms:modified xsi:type="dcterms:W3CDTF">2026-10-16T14:23:59Z</dcterms:modified>
</cp:coreProperties>
</file>